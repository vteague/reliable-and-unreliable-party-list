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1551\Documents\Studien\Audit Studie\"/>
    </mc:Choice>
  </mc:AlternateContent>
  <xr:revisionPtr revIDLastSave="0" documentId="13_ncr:1_{174DE7FF-C427-436F-9218-20FB4055842E}" xr6:coauthVersionLast="47" xr6:coauthVersionMax="47" xr10:uidLastSave="{00000000-0000-0000-0000-000000000000}"/>
  <bookViews>
    <workbookView xWindow="-120" yWindow="-120" windowWidth="38640" windowHeight="21120" activeTab="7" xr2:uid="{CAF1B69F-5696-4E59-83CC-9003B0575515}"/>
  </bookViews>
  <sheets>
    <sheet name="Karlsruhe" sheetId="1" r:id="rId1"/>
    <sheet name="Mannheim" sheetId="7" r:id="rId2"/>
    <sheet name="Freiburg" sheetId="2" r:id="rId3"/>
    <sheet name="Heidelberg" sheetId="3" r:id="rId4"/>
    <sheet name="Tübingen" sheetId="4" r:id="rId5"/>
    <sheet name="Heilbronn" sheetId="5" r:id="rId6"/>
    <sheet name="Pforzheim" sheetId="6" r:id="rId7"/>
    <sheet name="Stuttga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13" i="2"/>
  <c r="H3" i="7"/>
  <c r="H4" i="7"/>
  <c r="H5" i="7"/>
  <c r="H6" i="7"/>
  <c r="H7" i="7"/>
  <c r="H8" i="7"/>
  <c r="H9" i="7"/>
  <c r="H10" i="7"/>
  <c r="H11" i="7"/>
  <c r="H12" i="7"/>
  <c r="H13" i="7"/>
  <c r="H14" i="7"/>
  <c r="H15" i="7"/>
  <c r="H2" i="7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I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C2" i="2"/>
  <c r="B2" i="2"/>
  <c r="B22" i="2" l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P2" i="2"/>
  <c r="O2" i="2"/>
  <c r="O2" i="6"/>
  <c r="P2" i="6"/>
  <c r="P2" i="5"/>
  <c r="O2" i="5"/>
  <c r="O9" i="5"/>
  <c r="O14" i="5"/>
  <c r="O13" i="5"/>
  <c r="O12" i="5"/>
  <c r="O11" i="5"/>
  <c r="O10" i="5"/>
  <c r="O8" i="5"/>
  <c r="O7" i="5"/>
  <c r="O6" i="5"/>
  <c r="O5" i="5"/>
  <c r="O4" i="5"/>
  <c r="O3" i="5"/>
  <c r="B4" i="5"/>
  <c r="O2" i="4"/>
  <c r="P2" i="4" s="1"/>
  <c r="P2" i="3" l="1"/>
  <c r="O17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H3" i="3"/>
  <c r="B19" i="8"/>
  <c r="T3" i="8"/>
  <c r="B3" i="8"/>
  <c r="O2" i="3" l="1"/>
  <c r="C5" i="8"/>
  <c r="C3" i="8"/>
  <c r="Q3" i="8" l="1"/>
  <c r="B14" i="5"/>
  <c r="B13" i="5"/>
  <c r="B12" i="5"/>
  <c r="B11" i="5"/>
  <c r="B10" i="5"/>
  <c r="B9" i="5"/>
  <c r="B8" i="5"/>
  <c r="B7" i="5"/>
  <c r="B6" i="5"/>
  <c r="B5" i="5"/>
  <c r="B3" i="5"/>
  <c r="Q1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3" i="8"/>
  <c r="H2" i="8"/>
  <c r="C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" i="8"/>
  <c r="B4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Q4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Q7" i="8"/>
  <c r="O2" i="8"/>
  <c r="Q8" i="8"/>
  <c r="Q9" i="8"/>
  <c r="Q16" i="8"/>
  <c r="Q17" i="8"/>
  <c r="B5" i="8"/>
  <c r="Q5" i="8" s="1"/>
  <c r="B6" i="8"/>
  <c r="Q6" i="8" s="1"/>
  <c r="B7" i="8"/>
  <c r="B8" i="8"/>
  <c r="B9" i="8"/>
  <c r="B10" i="8"/>
  <c r="Q10" i="8" s="1"/>
  <c r="B11" i="8"/>
  <c r="Q11" i="8" s="1"/>
  <c r="B12" i="8"/>
  <c r="Q12" i="8" s="1"/>
  <c r="B13" i="8"/>
  <c r="Q13" i="8" s="1"/>
  <c r="B14" i="8"/>
  <c r="Q14" i="8" s="1"/>
  <c r="B15" i="8"/>
  <c r="Q15" i="8" s="1"/>
  <c r="B16" i="8"/>
  <c r="B17" i="8"/>
  <c r="B18" i="8"/>
  <c r="Q18" i="8" s="1"/>
  <c r="B20" i="8"/>
  <c r="Q20" i="8" s="1"/>
  <c r="N2" i="8"/>
  <c r="P2" i="8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" i="6"/>
  <c r="C2" i="6"/>
  <c r="B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3" i="6"/>
  <c r="F2" i="6"/>
  <c r="B15" i="6"/>
  <c r="B17" i="6"/>
  <c r="B19" i="6"/>
  <c r="B3" i="6"/>
  <c r="B18" i="6"/>
  <c r="B16" i="6"/>
  <c r="B14" i="6"/>
  <c r="B13" i="6"/>
  <c r="B12" i="6"/>
  <c r="B11" i="6"/>
  <c r="B10" i="6"/>
  <c r="B9" i="6"/>
  <c r="B8" i="6"/>
  <c r="B7" i="6"/>
  <c r="B6" i="6"/>
  <c r="B5" i="6"/>
  <c r="B4" i="6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C2" i="4"/>
  <c r="B2" i="4"/>
  <c r="C10" i="4"/>
  <c r="C5" i="4"/>
  <c r="C6" i="4"/>
  <c r="C7" i="4"/>
  <c r="C8" i="4"/>
  <c r="C9" i="4"/>
  <c r="C11" i="4"/>
  <c r="C3" i="4"/>
  <c r="C4" i="4"/>
  <c r="F2" i="4"/>
  <c r="B2" i="8" l="1"/>
  <c r="Q2" i="8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2" i="3"/>
  <c r="I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3" i="3"/>
  <c r="C2" i="3"/>
  <c r="B2" i="3"/>
  <c r="B17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I3" i="5"/>
  <c r="I8" i="5"/>
  <c r="I13" i="5"/>
  <c r="H3" i="5"/>
  <c r="H5" i="5"/>
  <c r="H6" i="5"/>
  <c r="H7" i="5"/>
  <c r="H8" i="5"/>
  <c r="H13" i="5"/>
  <c r="C5" i="5"/>
  <c r="I5" i="5" s="1"/>
  <c r="C6" i="5"/>
  <c r="I6" i="5" s="1"/>
  <c r="C7" i="5"/>
  <c r="I7" i="5" s="1"/>
  <c r="C8" i="5"/>
  <c r="C9" i="5"/>
  <c r="I9" i="5" s="1"/>
  <c r="C10" i="5"/>
  <c r="I10" i="5" s="1"/>
  <c r="C11" i="5"/>
  <c r="I11" i="5" s="1"/>
  <c r="C13" i="5"/>
  <c r="C3" i="5"/>
  <c r="F2" i="5"/>
  <c r="C14" i="5"/>
  <c r="I14" i="5" s="1"/>
  <c r="C4" i="5"/>
  <c r="H9" i="5"/>
  <c r="H10" i="5"/>
  <c r="H11" i="5"/>
  <c r="C12" i="5"/>
  <c r="I12" i="5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2" i="7"/>
  <c r="B4" i="7"/>
  <c r="B5" i="7"/>
  <c r="B6" i="7"/>
  <c r="B7" i="7"/>
  <c r="B8" i="7"/>
  <c r="B9" i="7"/>
  <c r="B10" i="7"/>
  <c r="B11" i="7"/>
  <c r="B12" i="7"/>
  <c r="B13" i="7"/>
  <c r="B14" i="7"/>
  <c r="B15" i="7"/>
  <c r="B3" i="7"/>
  <c r="F2" i="7"/>
  <c r="C2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C2" i="1"/>
  <c r="B2" i="1"/>
  <c r="I4" i="5" l="1"/>
  <c r="C2" i="5"/>
  <c r="I2" i="5" s="1"/>
  <c r="B2" i="5"/>
  <c r="H2" i="5" s="1"/>
  <c r="H14" i="5"/>
  <c r="H12" i="5"/>
  <c r="H4" i="5"/>
  <c r="B2" i="7"/>
</calcChain>
</file>

<file path=xl/sharedStrings.xml><?xml version="1.0" encoding="utf-8"?>
<sst xmlns="http://schemas.openxmlformats.org/spreadsheetml/2006/main" count="290" uniqueCount="94">
  <si>
    <t>Partei:</t>
  </si>
  <si>
    <t>Votes from unchanged</t>
  </si>
  <si>
    <t>Votes from changed</t>
  </si>
  <si>
    <t>Grüne</t>
  </si>
  <si>
    <t>CDU</t>
  </si>
  <si>
    <t>SPD</t>
  </si>
  <si>
    <t>FDP</t>
  </si>
  <si>
    <t>Die Linke</t>
  </si>
  <si>
    <t>FWV</t>
  </si>
  <si>
    <t>Die Partei</t>
  </si>
  <si>
    <t>Overall:</t>
  </si>
  <si>
    <t>Candidates</t>
  </si>
  <si>
    <t>%</t>
  </si>
  <si>
    <t>GRUNE</t>
  </si>
  <si>
    <t>Linke Liste</t>
  </si>
  <si>
    <t>FW</t>
  </si>
  <si>
    <t>AfD</t>
  </si>
  <si>
    <t>Volt</t>
  </si>
  <si>
    <t>GAF</t>
  </si>
  <si>
    <t>JF</t>
  </si>
  <si>
    <t>UFR</t>
  </si>
  <si>
    <t>kult</t>
  </si>
  <si>
    <t>UFF</t>
  </si>
  <si>
    <t>FL</t>
  </si>
  <si>
    <t>Die PARTEI</t>
  </si>
  <si>
    <t>LTI</t>
  </si>
  <si>
    <t>BFF</t>
  </si>
  <si>
    <t>FFR</t>
  </si>
  <si>
    <t>SPITZ</t>
  </si>
  <si>
    <t>APPD</t>
  </si>
  <si>
    <t>in %</t>
  </si>
  <si>
    <t>Votes Overall</t>
  </si>
  <si>
    <t>Invalid Ballots</t>
  </si>
  <si>
    <t>KAL</t>
  </si>
  <si>
    <t>FW KA e.V.</t>
  </si>
  <si>
    <t>FÜR Karlsruhe</t>
  </si>
  <si>
    <t>Team Todenhöfer</t>
  </si>
  <si>
    <t>Demokratie und Aufklärung Karlsruhe</t>
  </si>
  <si>
    <t>KAG</t>
  </si>
  <si>
    <t>ÖDP</t>
  </si>
  <si>
    <t>Freie Wähler-ML</t>
  </si>
  <si>
    <t>MfM</t>
  </si>
  <si>
    <t>Tierschutzpartei</t>
  </si>
  <si>
    <t>DIE MANNHEIMER</t>
  </si>
  <si>
    <t>KLIMALISTE</t>
  </si>
  <si>
    <t>Schützt die Autos</t>
  </si>
  <si>
    <t>GRÜNE</t>
  </si>
  <si>
    <t>PRO</t>
  </si>
  <si>
    <t>DIE LINKE</t>
  </si>
  <si>
    <t>BIG</t>
  </si>
  <si>
    <t>UfHN</t>
  </si>
  <si>
    <t>Gemeinsam für unser HN</t>
  </si>
  <si>
    <t>DIE HEIDELBERGER</t>
  </si>
  <si>
    <t>GAL</t>
  </si>
  <si>
    <t>Bunte Linke</t>
  </si>
  <si>
    <t>HiB</t>
  </si>
  <si>
    <t>IDA</t>
  </si>
  <si>
    <t>Sofia Leser Liste</t>
  </si>
  <si>
    <t>AL/GRÜNE</t>
  </si>
  <si>
    <t>Tübinger Liste e.V.</t>
  </si>
  <si>
    <t>TÜL/DIE LINKE</t>
  </si>
  <si>
    <t>Die PARTEI/Stammtisch "Unser Huhn"</t>
  </si>
  <si>
    <t>DiB</t>
  </si>
  <si>
    <t>Grüne Liste Pforzheim</t>
  </si>
  <si>
    <t>Die GRÜNEN</t>
  </si>
  <si>
    <t>Unabhängige Bürger für Pferzheim</t>
  </si>
  <si>
    <t>Wir in Pforzheim</t>
  </si>
  <si>
    <t>Bürgerliste Pforzheim</t>
  </si>
  <si>
    <t>SAROW Liste</t>
  </si>
  <si>
    <t>Frauenliste Pforzheim</t>
  </si>
  <si>
    <t>Gemeinsam für Pforzheim</t>
  </si>
  <si>
    <t>FREIE WÄHLER</t>
  </si>
  <si>
    <t>Zukunftsperspektive für Pforzheim</t>
  </si>
  <si>
    <t>Die Gerechtigkeitspartei - Team Todenhöfer</t>
  </si>
  <si>
    <t>FDP/DVP</t>
  </si>
  <si>
    <t>Freie Wähler</t>
  </si>
  <si>
    <t>SöS - Stuttgart ökologisch sozial</t>
  </si>
  <si>
    <t>Die Stadtisten</t>
  </si>
  <si>
    <t>Children-First, Kinderrechte stärken</t>
  </si>
  <si>
    <t>Vielfalt</t>
  </si>
  <si>
    <t>FeLi</t>
  </si>
  <si>
    <t>Stuttgarter Liste</t>
  </si>
  <si>
    <t>Panaschierte Stimmen</t>
  </si>
  <si>
    <t>unchanged ballots:</t>
  </si>
  <si>
    <t>changed but not panaschiert for other party;</t>
  </si>
  <si>
    <t>if all 60 votes of changed ballots in Table 19 go to party</t>
  </si>
  <si>
    <t>changed ballot for party</t>
  </si>
  <si>
    <t>Overall Votes:</t>
  </si>
  <si>
    <t>in % :</t>
  </si>
  <si>
    <t>Number of ballots</t>
  </si>
  <si>
    <t>unchanged</t>
  </si>
  <si>
    <t>changed</t>
  </si>
  <si>
    <t>valid:</t>
  </si>
  <si>
    <t>overall: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</si>
</sst>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_ ;\-0.0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3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/>
    <xf numFmtId="3" fontId="0" fillId="0" borderId="0" xfId="0" applyNumberFormat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3" fontId="0" fillId="0" borderId="6" xfId="0" applyNumberFormat="1" applyBorder="1"/>
    <xf numFmtId="3" fontId="0" fillId="0" borderId="5" xfId="0" applyNumberFormat="1" applyBorder="1"/>
    <xf numFmtId="2" fontId="0" fillId="0" borderId="3" xfId="0" applyNumberFormat="1" applyBorder="1"/>
    <xf numFmtId="164" fontId="1" fillId="0" borderId="2" xfId="1" applyNumberFormat="1" applyFont="1" applyBorder="1"/>
    <xf numFmtId="165" fontId="0" fillId="0" borderId="2" xfId="0" applyNumberFormat="1" applyBorder="1"/>
    <xf numFmtId="3" fontId="0" fillId="2" borderId="0" xfId="0" applyNumberFormat="1" applyFill="1"/>
    <xf numFmtId="0" fontId="0" fillId="3" borderId="0" xfId="0" applyFill="1"/>
    <xf numFmtId="0" fontId="3" fillId="0" borderId="0" xfId="0" applyFont="1"/>
    <xf numFmtId="164" fontId="0" fillId="0" borderId="0" xfId="1" applyNumberFormat="1" applyFont="1" applyBorder="1"/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4" fontId="0" fillId="0" borderId="0" xfId="0" applyNumberFormat="1" applyBorder="1"/>
  </cellXfs>
  <cellStyles count="2">
    <cellStyle name="Komma 2" xfId="1" xr:uid="{7F28019D-A312-4364-8901-D0EE79F2CBBB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269-62DA-42DB-B0CF-5680F10B8DB7}">
  <dimension ref="A1:L17"/>
  <sheetViews>
    <sheetView workbookViewId="0">
      <selection activeCell="H4" sqref="H4"/>
    </sheetView>
  </sheetViews>
  <sheetFormatPr baseColWidth="10" defaultRowHeight="15" x14ac:dyDescent="0.25"/>
  <cols>
    <col min="1" max="1" width="34" customWidth="1"/>
    <col min="2" max="2" width="22.7109375" customWidth="1"/>
    <col min="3" max="3" width="23" customWidth="1"/>
    <col min="4" max="4" width="11.7109375" bestFit="1" customWidth="1"/>
    <col min="6" max="6" width="17.28515625" customWidth="1"/>
    <col min="8" max="9" width="22.85546875" customWidth="1"/>
    <col min="11" max="11" width="14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</row>
    <row r="2" spans="1:12" x14ac:dyDescent="0.25">
      <c r="A2" s="2" t="s">
        <v>10</v>
      </c>
      <c r="B2" s="8">
        <f>SUM(B3:B17)</f>
        <v>2610601</v>
      </c>
      <c r="C2" s="8">
        <f>SUM(C3:C17)</f>
        <v>3436677</v>
      </c>
      <c r="D2" s="9"/>
      <c r="E2" s="9"/>
      <c r="F2" s="9">
        <v>6047278</v>
      </c>
      <c r="G2" s="6"/>
      <c r="H2" s="6">
        <f>(B2/F2)*100</f>
        <v>43.1698526179878</v>
      </c>
      <c r="I2" s="6">
        <f>(C2/F2)*100</f>
        <v>56.830147382012207</v>
      </c>
      <c r="J2" s="7"/>
      <c r="K2" s="7">
        <v>2702</v>
      </c>
      <c r="L2" s="7">
        <v>1.96</v>
      </c>
    </row>
    <row r="3" spans="1:12" x14ac:dyDescent="0.25">
      <c r="A3" t="s">
        <v>3</v>
      </c>
      <c r="B3" s="10">
        <v>772512</v>
      </c>
      <c r="C3" s="10">
        <v>774375</v>
      </c>
      <c r="D3" s="10"/>
      <c r="E3" s="10">
        <v>48</v>
      </c>
      <c r="F3" s="10">
        <v>1546887</v>
      </c>
      <c r="G3" s="7"/>
      <c r="H3" s="7">
        <f t="shared" ref="H3:H17" si="0">(B3/F3)*100</f>
        <v>49.9397822853253</v>
      </c>
      <c r="I3" s="7">
        <f t="shared" ref="I3:I17" si="1">(C3/F3)*100</f>
        <v>50.060217714674693</v>
      </c>
      <c r="J3" s="7"/>
      <c r="K3" s="7"/>
      <c r="L3" s="7"/>
    </row>
    <row r="4" spans="1:12" x14ac:dyDescent="0.25">
      <c r="A4" t="s">
        <v>4</v>
      </c>
      <c r="B4" s="10">
        <v>534816</v>
      </c>
      <c r="C4" s="10">
        <v>651828</v>
      </c>
      <c r="D4" s="10"/>
      <c r="E4" s="10">
        <v>48</v>
      </c>
      <c r="F4" s="10">
        <v>1186644</v>
      </c>
      <c r="G4" s="7"/>
      <c r="H4" s="7">
        <f t="shared" si="0"/>
        <v>45.069624925419923</v>
      </c>
      <c r="I4" s="7">
        <f t="shared" si="1"/>
        <v>54.93037507458007</v>
      </c>
      <c r="J4" s="7"/>
      <c r="K4" s="7"/>
      <c r="L4" s="7"/>
    </row>
    <row r="5" spans="1:12" x14ac:dyDescent="0.25">
      <c r="A5" t="s">
        <v>5</v>
      </c>
      <c r="B5" s="10">
        <v>319824</v>
      </c>
      <c r="C5" s="10">
        <v>429219</v>
      </c>
      <c r="D5" s="10"/>
      <c r="E5" s="10">
        <v>48</v>
      </c>
      <c r="F5" s="10">
        <v>749043</v>
      </c>
      <c r="G5" s="7"/>
      <c r="H5" s="7">
        <f t="shared" si="0"/>
        <v>42.697682242541482</v>
      </c>
      <c r="I5" s="7">
        <f t="shared" si="1"/>
        <v>57.302317757458518</v>
      </c>
      <c r="J5" s="7"/>
      <c r="K5" s="7"/>
      <c r="L5" s="7"/>
    </row>
    <row r="6" spans="1:12" x14ac:dyDescent="0.25">
      <c r="A6" t="s">
        <v>6</v>
      </c>
      <c r="B6" s="10">
        <v>136992</v>
      </c>
      <c r="C6" s="10">
        <v>240488</v>
      </c>
      <c r="D6" s="10"/>
      <c r="E6" s="10">
        <v>48</v>
      </c>
      <c r="F6" s="10">
        <v>377480</v>
      </c>
      <c r="G6" s="7"/>
      <c r="H6" s="7">
        <f t="shared" si="0"/>
        <v>36.291194235456182</v>
      </c>
      <c r="I6" s="7">
        <f t="shared" si="1"/>
        <v>63.708805764543818</v>
      </c>
      <c r="J6" s="7"/>
      <c r="K6" s="7"/>
      <c r="L6" s="7"/>
    </row>
    <row r="7" spans="1:12" x14ac:dyDescent="0.25">
      <c r="A7" t="s">
        <v>16</v>
      </c>
      <c r="B7" s="10">
        <v>265824</v>
      </c>
      <c r="C7" s="10">
        <v>340224</v>
      </c>
      <c r="D7" s="10"/>
      <c r="E7" s="10">
        <v>48</v>
      </c>
      <c r="F7" s="10">
        <v>606048</v>
      </c>
      <c r="G7" s="7"/>
      <c r="H7" s="7">
        <f t="shared" si="0"/>
        <v>43.8618723269444</v>
      </c>
      <c r="I7" s="7">
        <f t="shared" si="1"/>
        <v>56.138127673055607</v>
      </c>
      <c r="J7" s="7"/>
      <c r="K7" s="7"/>
      <c r="L7" s="7"/>
    </row>
    <row r="8" spans="1:12" x14ac:dyDescent="0.25">
      <c r="A8" t="s">
        <v>7</v>
      </c>
      <c r="B8" s="10">
        <v>128784</v>
      </c>
      <c r="C8" s="10">
        <v>206525</v>
      </c>
      <c r="D8" s="10"/>
      <c r="E8" s="10">
        <v>48</v>
      </c>
      <c r="F8" s="10">
        <v>335309</v>
      </c>
      <c r="G8" s="7"/>
      <c r="H8" s="7">
        <f t="shared" si="0"/>
        <v>38.407558401355168</v>
      </c>
      <c r="I8" s="7">
        <f t="shared" si="1"/>
        <v>61.592441598644832</v>
      </c>
      <c r="J8" s="7"/>
      <c r="K8" s="7"/>
      <c r="L8" s="7"/>
    </row>
    <row r="9" spans="1:12" x14ac:dyDescent="0.25">
      <c r="A9" t="s">
        <v>33</v>
      </c>
      <c r="B9" s="10">
        <v>120528</v>
      </c>
      <c r="C9" s="10">
        <v>201618</v>
      </c>
      <c r="D9" s="10"/>
      <c r="E9" s="10">
        <v>48</v>
      </c>
      <c r="F9" s="10">
        <v>322146</v>
      </c>
      <c r="G9" s="7"/>
      <c r="H9" s="7">
        <f t="shared" si="0"/>
        <v>37.414091747220205</v>
      </c>
      <c r="I9" s="7">
        <f t="shared" si="1"/>
        <v>62.585908252779795</v>
      </c>
      <c r="J9" s="7"/>
      <c r="K9" s="7"/>
      <c r="L9" s="7"/>
    </row>
    <row r="10" spans="1:12" x14ac:dyDescent="0.25">
      <c r="A10" t="s">
        <v>9</v>
      </c>
      <c r="B10" s="10">
        <v>75264</v>
      </c>
      <c r="C10" s="10">
        <v>107819</v>
      </c>
      <c r="D10" s="10"/>
      <c r="E10" s="10">
        <v>48</v>
      </c>
      <c r="F10" s="10">
        <v>183083</v>
      </c>
      <c r="G10" s="7"/>
      <c r="H10" s="7">
        <f t="shared" si="0"/>
        <v>41.109223685432291</v>
      </c>
      <c r="I10" s="7">
        <f t="shared" si="1"/>
        <v>58.890776314567702</v>
      </c>
      <c r="J10" s="7"/>
      <c r="K10" s="7"/>
      <c r="L10" s="7"/>
    </row>
    <row r="11" spans="1:12" x14ac:dyDescent="0.25">
      <c r="A11" t="s">
        <v>34</v>
      </c>
      <c r="B11" s="10">
        <v>64032</v>
      </c>
      <c r="C11" s="10">
        <v>115468</v>
      </c>
      <c r="D11" s="10"/>
      <c r="E11" s="10">
        <v>48</v>
      </c>
      <c r="F11" s="10">
        <v>179500</v>
      </c>
      <c r="G11" s="7"/>
      <c r="H11" s="7">
        <f t="shared" si="0"/>
        <v>35.672423398328689</v>
      </c>
      <c r="I11" s="7">
        <f t="shared" si="1"/>
        <v>64.327576601671311</v>
      </c>
      <c r="J11" s="7"/>
      <c r="K11" s="7"/>
      <c r="L11" s="7"/>
    </row>
    <row r="12" spans="1:12" x14ac:dyDescent="0.25">
      <c r="A12" t="s">
        <v>35</v>
      </c>
      <c r="B12" s="10">
        <v>39888</v>
      </c>
      <c r="C12" s="10">
        <v>82565</v>
      </c>
      <c r="D12" s="10"/>
      <c r="E12" s="10">
        <v>48</v>
      </c>
      <c r="F12" s="10">
        <v>122453</v>
      </c>
      <c r="G12" s="7"/>
      <c r="H12" s="7">
        <f t="shared" si="0"/>
        <v>32.574130482715816</v>
      </c>
      <c r="I12" s="7">
        <f t="shared" si="1"/>
        <v>67.425869517284184</v>
      </c>
      <c r="J12" s="7"/>
      <c r="K12" s="7"/>
      <c r="L12" s="7"/>
    </row>
    <row r="13" spans="1:12" x14ac:dyDescent="0.25">
      <c r="A13" t="s">
        <v>36</v>
      </c>
      <c r="B13" s="10">
        <v>86</v>
      </c>
      <c r="C13" s="10">
        <v>8377</v>
      </c>
      <c r="D13" s="10"/>
      <c r="E13" s="10">
        <v>2</v>
      </c>
      <c r="F13" s="10">
        <v>8463</v>
      </c>
      <c r="G13" s="7"/>
      <c r="H13" s="7">
        <f t="shared" si="0"/>
        <v>1.0161881129623065</v>
      </c>
      <c r="I13" s="7">
        <f t="shared" si="1"/>
        <v>98.983811887037703</v>
      </c>
      <c r="J13" s="7"/>
      <c r="K13" s="7"/>
      <c r="L13" s="7"/>
    </row>
    <row r="14" spans="1:12" x14ac:dyDescent="0.25">
      <c r="A14" t="s">
        <v>37</v>
      </c>
      <c r="B14" s="10">
        <v>1484</v>
      </c>
      <c r="C14" s="10">
        <v>33831</v>
      </c>
      <c r="D14" s="10"/>
      <c r="E14" s="10">
        <v>28</v>
      </c>
      <c r="F14" s="10">
        <v>35315</v>
      </c>
      <c r="G14" s="7"/>
      <c r="H14" s="7">
        <f t="shared" si="0"/>
        <v>4.2021803766105057</v>
      </c>
      <c r="I14" s="7">
        <f t="shared" si="1"/>
        <v>95.797819623389486</v>
      </c>
      <c r="J14" s="7"/>
      <c r="K14" s="7"/>
      <c r="L14" s="7"/>
    </row>
    <row r="15" spans="1:12" x14ac:dyDescent="0.25">
      <c r="A15" t="s">
        <v>38</v>
      </c>
      <c r="B15" s="10">
        <v>42</v>
      </c>
      <c r="C15" s="10">
        <v>12504</v>
      </c>
      <c r="D15" s="10"/>
      <c r="E15" s="10">
        <v>1</v>
      </c>
      <c r="F15" s="10">
        <v>12546</v>
      </c>
      <c r="G15" s="7"/>
      <c r="H15" s="7">
        <f t="shared" si="0"/>
        <v>0.33476805356288858</v>
      </c>
      <c r="I15" s="7">
        <f t="shared" si="1"/>
        <v>99.665231946437117</v>
      </c>
      <c r="J15" s="7"/>
      <c r="K15" s="7"/>
      <c r="L15" s="7"/>
    </row>
    <row r="16" spans="1:12" x14ac:dyDescent="0.25">
      <c r="A16" t="s">
        <v>17</v>
      </c>
      <c r="B16" s="10">
        <v>149904</v>
      </c>
      <c r="C16" s="10">
        <v>201391</v>
      </c>
      <c r="D16" s="10"/>
      <c r="E16" s="10">
        <v>48</v>
      </c>
      <c r="F16" s="10">
        <v>351295</v>
      </c>
      <c r="G16" s="7"/>
      <c r="H16" s="7">
        <f t="shared" si="0"/>
        <v>42.671828520189585</v>
      </c>
      <c r="I16" s="7">
        <f t="shared" si="1"/>
        <v>57.328171479810422</v>
      </c>
      <c r="J16" s="7"/>
      <c r="K16" s="7"/>
      <c r="L16" s="7"/>
    </row>
    <row r="17" spans="1:12" x14ac:dyDescent="0.25">
      <c r="A17" t="s">
        <v>39</v>
      </c>
      <c r="B17" s="10">
        <v>621</v>
      </c>
      <c r="C17" s="10">
        <v>30445</v>
      </c>
      <c r="D17" s="10"/>
      <c r="E17" s="10">
        <v>9</v>
      </c>
      <c r="F17" s="10">
        <v>31066</v>
      </c>
      <c r="G17" s="7"/>
      <c r="H17" s="7">
        <f t="shared" si="0"/>
        <v>1.9989699349771455</v>
      </c>
      <c r="I17" s="7">
        <f t="shared" si="1"/>
        <v>98.00103006502286</v>
      </c>
      <c r="J17" s="7"/>
      <c r="K17" s="7"/>
      <c r="L17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C30E-9E57-4C08-A0D5-E9C2961CC51D}">
  <dimension ref="A1:L15"/>
  <sheetViews>
    <sheetView workbookViewId="0">
      <selection activeCell="G17" sqref="G17"/>
    </sheetView>
  </sheetViews>
  <sheetFormatPr baseColWidth="10" defaultRowHeight="15" x14ac:dyDescent="0.25"/>
  <cols>
    <col min="1" max="1" width="17.28515625" customWidth="1"/>
    <col min="2" max="2" width="27.5703125" bestFit="1" customWidth="1"/>
    <col min="3" max="3" width="19.5703125" bestFit="1" customWidth="1"/>
    <col min="4" max="4" width="12.85546875" customWidth="1"/>
    <col min="5" max="5" width="12.28515625" customWidth="1"/>
    <col min="6" max="6" width="18.28515625" customWidth="1"/>
    <col min="8" max="9" width="22.5703125" customWidth="1"/>
    <col min="11" max="11" width="15.1406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</row>
    <row r="2" spans="1:12" x14ac:dyDescent="0.25">
      <c r="A2" s="2" t="s">
        <v>10</v>
      </c>
      <c r="B2" s="8">
        <f>SUM(B3:B15)</f>
        <v>2181144</v>
      </c>
      <c r="C2" s="8">
        <f>SUM(C3:C15)</f>
        <v>2961467</v>
      </c>
      <c r="D2" s="9"/>
      <c r="E2" s="9"/>
      <c r="F2" s="8">
        <f>SUM(F3:F15)</f>
        <v>5142611</v>
      </c>
      <c r="G2" s="8"/>
      <c r="H2" s="5">
        <f>(B2/F2)*100</f>
        <v>42.413163274453389</v>
      </c>
      <c r="I2" s="5">
        <f>(C2/F2)*100</f>
        <v>57.586836725546618</v>
      </c>
      <c r="K2">
        <v>2479</v>
      </c>
      <c r="L2">
        <v>2.1</v>
      </c>
    </row>
    <row r="3" spans="1:12" x14ac:dyDescent="0.25">
      <c r="A3" t="s">
        <v>13</v>
      </c>
      <c r="B3" s="10">
        <f>F3-C3</f>
        <v>507456</v>
      </c>
      <c r="C3" s="10">
        <v>527928</v>
      </c>
      <c r="D3" s="10"/>
      <c r="E3" s="10">
        <v>48</v>
      </c>
      <c r="F3" s="10">
        <v>1035384</v>
      </c>
      <c r="G3" s="10"/>
      <c r="H3" s="32">
        <f t="shared" ref="H3:H15" si="0">(B3/F3)*100</f>
        <v>49.011381284624832</v>
      </c>
      <c r="I3" s="7">
        <f t="shared" ref="I3:I15" si="1">(C3/F3)*100</f>
        <v>50.988618715375168</v>
      </c>
    </row>
    <row r="4" spans="1:12" x14ac:dyDescent="0.25">
      <c r="A4" t="s">
        <v>5</v>
      </c>
      <c r="B4" s="10">
        <f t="shared" ref="B4:B15" si="2">F4-C4</f>
        <v>415344</v>
      </c>
      <c r="C4" s="10">
        <v>537575</v>
      </c>
      <c r="D4" s="10"/>
      <c r="E4" s="10">
        <v>48</v>
      </c>
      <c r="F4" s="10">
        <v>952919</v>
      </c>
      <c r="G4" s="10"/>
      <c r="H4" s="32">
        <f t="shared" si="0"/>
        <v>43.586495809192598</v>
      </c>
      <c r="I4" s="7">
        <f t="shared" si="1"/>
        <v>56.413504190807409</v>
      </c>
    </row>
    <row r="5" spans="1:12" x14ac:dyDescent="0.25">
      <c r="A5" t="s">
        <v>4</v>
      </c>
      <c r="B5" s="10">
        <f t="shared" si="2"/>
        <v>499440</v>
      </c>
      <c r="C5" s="10">
        <v>611443</v>
      </c>
      <c r="D5" s="10"/>
      <c r="E5" s="10">
        <v>48</v>
      </c>
      <c r="F5" s="10">
        <v>1110883</v>
      </c>
      <c r="G5" s="10"/>
      <c r="H5" s="32">
        <f t="shared" si="0"/>
        <v>44.958830047808817</v>
      </c>
      <c r="I5" s="7">
        <f t="shared" si="1"/>
        <v>55.041169952191183</v>
      </c>
    </row>
    <row r="6" spans="1:12" x14ac:dyDescent="0.25">
      <c r="A6" t="s">
        <v>16</v>
      </c>
      <c r="B6" s="10">
        <f t="shared" si="2"/>
        <v>356304</v>
      </c>
      <c r="C6" s="10">
        <v>375375</v>
      </c>
      <c r="D6" s="10"/>
      <c r="E6" s="10">
        <v>48</v>
      </c>
      <c r="F6" s="10">
        <v>731679</v>
      </c>
      <c r="G6" s="10"/>
      <c r="H6" s="32">
        <f t="shared" si="0"/>
        <v>48.696764564788658</v>
      </c>
      <c r="I6" s="7">
        <f t="shared" si="1"/>
        <v>51.303235435211349</v>
      </c>
    </row>
    <row r="7" spans="1:12" x14ac:dyDescent="0.25">
      <c r="A7" t="s">
        <v>40</v>
      </c>
      <c r="B7" s="10">
        <f t="shared" si="2"/>
        <v>124464</v>
      </c>
      <c r="C7" s="10">
        <v>222295</v>
      </c>
      <c r="D7" s="10"/>
      <c r="E7" s="10">
        <v>48</v>
      </c>
      <c r="F7" s="10">
        <v>346759</v>
      </c>
      <c r="G7" s="10"/>
      <c r="H7" s="32">
        <f t="shared" si="0"/>
        <v>35.893516822923125</v>
      </c>
      <c r="I7" s="7">
        <f t="shared" si="1"/>
        <v>64.106483177076882</v>
      </c>
    </row>
    <row r="8" spans="1:12" x14ac:dyDescent="0.25">
      <c r="A8" t="s">
        <v>6</v>
      </c>
      <c r="B8" s="10">
        <f t="shared" si="2"/>
        <v>100176</v>
      </c>
      <c r="C8" s="10">
        <v>176496</v>
      </c>
      <c r="D8" s="10"/>
      <c r="E8" s="10">
        <v>48</v>
      </c>
      <c r="F8" s="10">
        <v>276672</v>
      </c>
      <c r="G8" s="10"/>
      <c r="H8" s="32">
        <f t="shared" si="0"/>
        <v>36.20749479528105</v>
      </c>
      <c r="I8" s="7">
        <f t="shared" si="1"/>
        <v>63.792505204718942</v>
      </c>
    </row>
    <row r="9" spans="1:12" x14ac:dyDescent="0.25">
      <c r="A9" t="s">
        <v>7</v>
      </c>
      <c r="B9" s="10">
        <f t="shared" si="2"/>
        <v>103104</v>
      </c>
      <c r="C9" s="10">
        <v>151269</v>
      </c>
      <c r="D9" s="10"/>
      <c r="E9" s="10">
        <v>48</v>
      </c>
      <c r="F9" s="10">
        <v>254373</v>
      </c>
      <c r="G9" s="10"/>
      <c r="H9" s="32">
        <f t="shared" si="0"/>
        <v>40.532603696146992</v>
      </c>
      <c r="I9" s="7">
        <f t="shared" si="1"/>
        <v>59.467396303853008</v>
      </c>
    </row>
    <row r="10" spans="1:12" x14ac:dyDescent="0.25">
      <c r="A10" t="s">
        <v>24</v>
      </c>
      <c r="B10" s="10">
        <f t="shared" si="2"/>
        <v>15776</v>
      </c>
      <c r="C10" s="10">
        <v>92862</v>
      </c>
      <c r="D10" s="10"/>
      <c r="E10" s="10">
        <v>32</v>
      </c>
      <c r="F10" s="10">
        <v>108638</v>
      </c>
      <c r="G10" s="10"/>
      <c r="H10" s="32">
        <f t="shared" si="0"/>
        <v>14.521622268451187</v>
      </c>
      <c r="I10" s="7">
        <f t="shared" si="1"/>
        <v>85.478377731548818</v>
      </c>
    </row>
    <row r="11" spans="1:12" x14ac:dyDescent="0.25">
      <c r="A11" t="s">
        <v>41</v>
      </c>
      <c r="B11" s="10">
        <f t="shared" si="2"/>
        <v>22176</v>
      </c>
      <c r="C11" s="10">
        <v>54379</v>
      </c>
      <c r="D11" s="10"/>
      <c r="E11" s="10">
        <v>48</v>
      </c>
      <c r="F11" s="10">
        <v>76555</v>
      </c>
      <c r="G11" s="10"/>
      <c r="H11" s="32">
        <f t="shared" si="0"/>
        <v>28.967409052315329</v>
      </c>
      <c r="I11" s="7">
        <f t="shared" si="1"/>
        <v>71.032590947684668</v>
      </c>
    </row>
    <row r="12" spans="1:12" x14ac:dyDescent="0.25">
      <c r="A12" t="s">
        <v>42</v>
      </c>
      <c r="B12" s="10">
        <f t="shared" si="2"/>
        <v>11088</v>
      </c>
      <c r="C12" s="10">
        <v>101408</v>
      </c>
      <c r="D12" s="10"/>
      <c r="E12" s="10">
        <v>24</v>
      </c>
      <c r="F12" s="10">
        <v>112496</v>
      </c>
      <c r="G12" s="10"/>
      <c r="H12" s="32">
        <f t="shared" si="0"/>
        <v>9.8563504480159292</v>
      </c>
      <c r="I12" s="7">
        <f t="shared" si="1"/>
        <v>90.143649551984069</v>
      </c>
    </row>
    <row r="13" spans="1:12" x14ac:dyDescent="0.25">
      <c r="A13" t="s">
        <v>43</v>
      </c>
      <c r="B13" s="10">
        <f t="shared" si="2"/>
        <v>23424</v>
      </c>
      <c r="C13" s="10">
        <v>40969</v>
      </c>
      <c r="D13" s="10"/>
      <c r="E13" s="10">
        <v>48</v>
      </c>
      <c r="F13" s="10">
        <v>64393</v>
      </c>
      <c r="G13" s="10"/>
      <c r="H13" s="32">
        <f t="shared" si="0"/>
        <v>36.376624788408677</v>
      </c>
      <c r="I13" s="7">
        <f t="shared" si="1"/>
        <v>63.623375211591323</v>
      </c>
    </row>
    <row r="14" spans="1:12" x14ac:dyDescent="0.25">
      <c r="A14" t="s">
        <v>44</v>
      </c>
      <c r="B14" s="10">
        <f t="shared" si="2"/>
        <v>2160</v>
      </c>
      <c r="C14" s="10">
        <v>57068</v>
      </c>
      <c r="D14" s="10"/>
      <c r="E14" s="10">
        <v>16</v>
      </c>
      <c r="F14" s="10">
        <v>59228</v>
      </c>
      <c r="G14" s="10"/>
      <c r="H14" s="32">
        <f t="shared" si="0"/>
        <v>3.6469237522793274</v>
      </c>
      <c r="I14" s="7">
        <f t="shared" si="1"/>
        <v>96.353076247720665</v>
      </c>
    </row>
    <row r="15" spans="1:12" x14ac:dyDescent="0.25">
      <c r="A15" t="s">
        <v>45</v>
      </c>
      <c r="B15" s="10">
        <f t="shared" si="2"/>
        <v>232</v>
      </c>
      <c r="C15" s="10">
        <v>12400</v>
      </c>
      <c r="D15" s="10"/>
      <c r="E15" s="10">
        <v>4</v>
      </c>
      <c r="F15" s="10">
        <v>12632</v>
      </c>
      <c r="G15" s="10"/>
      <c r="H15" s="32">
        <f t="shared" si="0"/>
        <v>1.8366054464851171</v>
      </c>
      <c r="I15" s="7">
        <f t="shared" si="1"/>
        <v>98.163394553514877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4E16-47E1-4365-BE21-BAA7E2765F84}">
  <dimension ref="A1:P59"/>
  <sheetViews>
    <sheetView workbookViewId="0">
      <selection activeCell="I2" sqref="I2"/>
    </sheetView>
  </sheetViews>
  <sheetFormatPr baseColWidth="10" defaultRowHeight="15" x14ac:dyDescent="0.25"/>
  <cols>
    <col min="2" max="3" width="22.42578125" customWidth="1"/>
    <col min="6" max="6" width="13.85546875" customWidth="1"/>
    <col min="8" max="9" width="21.42578125" customWidth="1"/>
    <col min="11" max="11" width="14.7109375" customWidth="1"/>
    <col min="12" max="12" width="15" bestFit="1" customWidth="1"/>
    <col min="14" max="14" width="17.28515625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  <c r="M1" t="s">
        <v>92</v>
      </c>
      <c r="N1" t="s">
        <v>89</v>
      </c>
      <c r="O1" t="s">
        <v>90</v>
      </c>
      <c r="P1" t="s">
        <v>91</v>
      </c>
    </row>
    <row r="2" spans="1:16" x14ac:dyDescent="0.25">
      <c r="A2" s="2" t="s">
        <v>10</v>
      </c>
      <c r="B2" s="5">
        <f>SUM(B3:B22)</f>
        <v>1199246</v>
      </c>
      <c r="C2" s="5">
        <f>F2-B2</f>
        <v>3865229</v>
      </c>
      <c r="D2" s="6"/>
      <c r="E2" s="9"/>
      <c r="F2" s="9">
        <v>5064475</v>
      </c>
      <c r="G2" s="6"/>
      <c r="H2" s="6">
        <f>B2/F2*100</f>
        <v>23.679571920090435</v>
      </c>
      <c r="I2" s="6">
        <f>C2/F2*100</f>
        <v>76.320428079909561</v>
      </c>
      <c r="J2" s="7"/>
      <c r="K2" s="7">
        <v>2501</v>
      </c>
      <c r="L2" s="7">
        <v>2.2000000000000002</v>
      </c>
      <c r="N2" s="10">
        <v>112794</v>
      </c>
      <c r="O2" s="10">
        <f>N2*0.236</f>
        <v>26619.383999999998</v>
      </c>
      <c r="P2" s="10">
        <f>N2-O2</f>
        <v>86174.616000000009</v>
      </c>
    </row>
    <row r="3" spans="1:16" x14ac:dyDescent="0.25">
      <c r="A3" t="s">
        <v>13</v>
      </c>
      <c r="B3" s="30">
        <f>9025*E3</f>
        <v>433200</v>
      </c>
      <c r="C3" s="10">
        <f>F3-B3</f>
        <v>771778</v>
      </c>
      <c r="D3" s="7"/>
      <c r="E3" s="10">
        <v>48</v>
      </c>
      <c r="F3" s="10">
        <v>1204978</v>
      </c>
      <c r="G3" s="7"/>
      <c r="H3" s="7">
        <f t="shared" ref="H3:H22" si="0">B3/F3*100</f>
        <v>35.950863833198618</v>
      </c>
      <c r="I3" s="7">
        <f t="shared" ref="I3:I22" si="1">C3/F3*100</f>
        <v>64.049136166801389</v>
      </c>
      <c r="J3" s="7"/>
      <c r="K3" s="7"/>
      <c r="L3" s="7"/>
    </row>
    <row r="4" spans="1:16" x14ac:dyDescent="0.25">
      <c r="A4" t="s">
        <v>5</v>
      </c>
      <c r="B4" s="30">
        <f>3383*E4</f>
        <v>162384</v>
      </c>
      <c r="C4" s="10">
        <f t="shared" ref="C4:C22" si="2">F4-B4</f>
        <v>472616</v>
      </c>
      <c r="D4" s="7"/>
      <c r="E4" s="10">
        <v>48</v>
      </c>
      <c r="F4" s="10">
        <v>635000</v>
      </c>
      <c r="G4" s="7"/>
      <c r="H4" s="7">
        <f t="shared" si="0"/>
        <v>25.572283464566929</v>
      </c>
      <c r="I4" s="7">
        <f t="shared" si="1"/>
        <v>74.427716535433078</v>
      </c>
      <c r="J4" s="7"/>
      <c r="K4" s="7"/>
      <c r="L4" s="7"/>
    </row>
    <row r="5" spans="1:16" x14ac:dyDescent="0.25">
      <c r="A5" t="s">
        <v>4</v>
      </c>
      <c r="B5" s="30">
        <f>3423*E5</f>
        <v>164304</v>
      </c>
      <c r="C5" s="10">
        <f t="shared" si="2"/>
        <v>444173</v>
      </c>
      <c r="D5" s="7"/>
      <c r="E5" s="10">
        <v>48</v>
      </c>
      <c r="F5" s="10">
        <v>608477</v>
      </c>
      <c r="G5" s="7"/>
      <c r="H5" s="7">
        <f t="shared" si="0"/>
        <v>27.002499683636355</v>
      </c>
      <c r="I5" s="7">
        <f t="shared" si="1"/>
        <v>72.997500316363642</v>
      </c>
      <c r="J5" s="7"/>
      <c r="K5" s="7"/>
      <c r="L5" s="7"/>
    </row>
    <row r="6" spans="1:16" x14ac:dyDescent="0.25">
      <c r="A6" t="s">
        <v>14</v>
      </c>
      <c r="B6" s="30">
        <f>2329*E6</f>
        <v>111792</v>
      </c>
      <c r="C6" s="10">
        <f t="shared" si="2"/>
        <v>279880</v>
      </c>
      <c r="D6" s="7"/>
      <c r="E6" s="10">
        <v>48</v>
      </c>
      <c r="F6" s="10">
        <v>391672</v>
      </c>
      <c r="G6" s="7"/>
      <c r="H6" s="7">
        <f t="shared" si="0"/>
        <v>28.542249637451743</v>
      </c>
      <c r="I6" s="7">
        <f t="shared" si="1"/>
        <v>71.457750362548254</v>
      </c>
      <c r="J6" s="7"/>
      <c r="K6" s="7"/>
      <c r="L6" s="7"/>
    </row>
    <row r="7" spans="1:16" x14ac:dyDescent="0.25">
      <c r="A7" t="s">
        <v>15</v>
      </c>
      <c r="B7" s="30">
        <f>724*E7</f>
        <v>34752</v>
      </c>
      <c r="C7" s="10">
        <f t="shared" si="2"/>
        <v>322055</v>
      </c>
      <c r="D7" s="7"/>
      <c r="E7" s="10">
        <v>48</v>
      </c>
      <c r="F7" s="10">
        <v>356807</v>
      </c>
      <c r="G7" s="7"/>
      <c r="H7" s="7">
        <f t="shared" si="0"/>
        <v>9.73971923196574</v>
      </c>
      <c r="I7" s="7">
        <f t="shared" si="1"/>
        <v>90.260280768034264</v>
      </c>
      <c r="J7" s="7"/>
      <c r="K7" s="7"/>
      <c r="L7" s="7"/>
    </row>
    <row r="8" spans="1:16" x14ac:dyDescent="0.25">
      <c r="A8" t="s">
        <v>16</v>
      </c>
      <c r="B8" s="30">
        <f>1425*E8</f>
        <v>28500</v>
      </c>
      <c r="C8" s="10">
        <f t="shared" si="2"/>
        <v>201645</v>
      </c>
      <c r="D8" s="7"/>
      <c r="E8" s="10">
        <v>20</v>
      </c>
      <c r="F8" s="10">
        <v>230145</v>
      </c>
      <c r="G8" s="7"/>
      <c r="H8" s="7">
        <f t="shared" si="0"/>
        <v>12.383497360359772</v>
      </c>
      <c r="I8" s="7">
        <f t="shared" si="1"/>
        <v>87.616502639640231</v>
      </c>
      <c r="J8" s="7"/>
      <c r="K8" s="7"/>
      <c r="L8" s="7"/>
    </row>
    <row r="9" spans="1:16" x14ac:dyDescent="0.25">
      <c r="A9" t="s">
        <v>6</v>
      </c>
      <c r="B9" s="30">
        <f>493*E9</f>
        <v>23664</v>
      </c>
      <c r="C9" s="10">
        <f t="shared" si="2"/>
        <v>198622</v>
      </c>
      <c r="D9" s="7"/>
      <c r="E9" s="10">
        <v>48</v>
      </c>
      <c r="F9" s="10">
        <v>222286</v>
      </c>
      <c r="G9" s="7"/>
      <c r="H9" s="7">
        <f t="shared" si="0"/>
        <v>10.645744671279344</v>
      </c>
      <c r="I9" s="7">
        <f t="shared" si="1"/>
        <v>89.354255328720654</v>
      </c>
      <c r="J9" s="7"/>
      <c r="K9" s="7"/>
      <c r="L9" s="7"/>
    </row>
    <row r="10" spans="1:16" x14ac:dyDescent="0.25">
      <c r="A10" t="s">
        <v>17</v>
      </c>
      <c r="B10" s="30">
        <f>641*E10</f>
        <v>30768</v>
      </c>
      <c r="C10" s="10">
        <f t="shared" si="2"/>
        <v>159201</v>
      </c>
      <c r="D10" s="7"/>
      <c r="E10" s="10">
        <v>48</v>
      </c>
      <c r="F10" s="10">
        <v>189969</v>
      </c>
      <c r="G10" s="7"/>
      <c r="H10" s="7">
        <f t="shared" si="0"/>
        <v>16.196326769104434</v>
      </c>
      <c r="I10" s="7">
        <f t="shared" si="1"/>
        <v>83.803673230895569</v>
      </c>
      <c r="J10" s="7"/>
      <c r="K10" s="7"/>
      <c r="L10" s="7"/>
    </row>
    <row r="11" spans="1:16" x14ac:dyDescent="0.25">
      <c r="A11" t="s">
        <v>18</v>
      </c>
      <c r="B11" s="30">
        <f>988*E11</f>
        <v>47424</v>
      </c>
      <c r="C11" s="10">
        <f t="shared" si="2"/>
        <v>134166</v>
      </c>
      <c r="D11" s="7"/>
      <c r="E11" s="10">
        <v>48</v>
      </c>
      <c r="F11" s="10">
        <v>181590</v>
      </c>
      <c r="G11" s="7"/>
      <c r="H11" s="7">
        <f t="shared" si="0"/>
        <v>26.115975549314392</v>
      </c>
      <c r="I11" s="7">
        <f t="shared" si="1"/>
        <v>73.884024450685615</v>
      </c>
      <c r="J11" s="7"/>
      <c r="K11" s="7"/>
      <c r="L11" s="7"/>
    </row>
    <row r="12" spans="1:16" x14ac:dyDescent="0.25">
      <c r="A12" t="s">
        <v>19</v>
      </c>
      <c r="B12" s="30">
        <f>480*E12</f>
        <v>23040</v>
      </c>
      <c r="C12" s="10">
        <f t="shared" si="2"/>
        <v>141797</v>
      </c>
      <c r="D12" s="7"/>
      <c r="E12" s="10">
        <v>48</v>
      </c>
      <c r="F12" s="10">
        <v>164837</v>
      </c>
      <c r="G12" s="7"/>
      <c r="H12" s="7">
        <f t="shared" si="0"/>
        <v>13.97744438445252</v>
      </c>
      <c r="I12" s="7">
        <f t="shared" si="1"/>
        <v>86.022555615547475</v>
      </c>
      <c r="J12" s="7"/>
      <c r="K12" s="7"/>
      <c r="L12" s="7"/>
    </row>
    <row r="13" spans="1:16" x14ac:dyDescent="0.25">
      <c r="A13" t="s">
        <v>20</v>
      </c>
      <c r="B13" s="30">
        <f>650*E13</f>
        <v>31200</v>
      </c>
      <c r="C13" s="10">
        <f t="shared" si="2"/>
        <v>115891</v>
      </c>
      <c r="D13" s="7"/>
      <c r="E13" s="10">
        <v>48</v>
      </c>
      <c r="F13" s="10">
        <v>147091</v>
      </c>
      <c r="G13" s="7"/>
      <c r="H13" s="7">
        <f t="shared" si="0"/>
        <v>21.211358954660721</v>
      </c>
      <c r="I13" s="7">
        <f>C13/F13*100</f>
        <v>78.788641045339276</v>
      </c>
      <c r="J13" s="7"/>
      <c r="K13" s="7"/>
      <c r="L13" s="7"/>
    </row>
    <row r="14" spans="1:16" x14ac:dyDescent="0.25">
      <c r="A14" t="s">
        <v>21</v>
      </c>
      <c r="B14" s="30">
        <f>476*E14</f>
        <v>22848</v>
      </c>
      <c r="C14" s="10">
        <f t="shared" si="2"/>
        <v>109008</v>
      </c>
      <c r="D14" s="7"/>
      <c r="E14" s="10">
        <v>48</v>
      </c>
      <c r="F14" s="10">
        <v>131856</v>
      </c>
      <c r="G14" s="7"/>
      <c r="H14" s="7">
        <f t="shared" si="0"/>
        <v>17.327994175464141</v>
      </c>
      <c r="I14" s="7">
        <f t="shared" si="1"/>
        <v>82.672005824535859</v>
      </c>
      <c r="J14" s="7"/>
      <c r="K14" s="7"/>
      <c r="L14" s="7"/>
    </row>
    <row r="15" spans="1:16" x14ac:dyDescent="0.25">
      <c r="A15" t="s">
        <v>22</v>
      </c>
      <c r="B15" s="30">
        <f>399*E15</f>
        <v>19152</v>
      </c>
      <c r="C15" s="10">
        <f t="shared" si="2"/>
        <v>108278</v>
      </c>
      <c r="D15" s="7"/>
      <c r="E15" s="10">
        <v>48</v>
      </c>
      <c r="F15" s="10">
        <v>127430</v>
      </c>
      <c r="G15" s="7"/>
      <c r="H15" s="7">
        <f t="shared" si="0"/>
        <v>15.029427921211646</v>
      </c>
      <c r="I15" s="7">
        <f t="shared" si="1"/>
        <v>84.970572078788351</v>
      </c>
      <c r="J15" s="7"/>
      <c r="K15" s="7"/>
      <c r="L15" s="7"/>
    </row>
    <row r="16" spans="1:16" x14ac:dyDescent="0.25">
      <c r="A16" t="s">
        <v>23</v>
      </c>
      <c r="B16" s="30">
        <f>392*E16</f>
        <v>18816</v>
      </c>
      <c r="C16" s="10">
        <f t="shared" si="2"/>
        <v>100318</v>
      </c>
      <c r="D16" s="7"/>
      <c r="E16" s="10">
        <v>48</v>
      </c>
      <c r="F16" s="10">
        <v>119134</v>
      </c>
      <c r="G16" s="7"/>
      <c r="H16" s="7">
        <f t="shared" si="0"/>
        <v>15.793979888193126</v>
      </c>
      <c r="I16" s="7">
        <f t="shared" si="1"/>
        <v>84.206020111806865</v>
      </c>
      <c r="J16" s="7"/>
      <c r="K16" s="7"/>
      <c r="L16" s="7"/>
    </row>
    <row r="17" spans="1:12" x14ac:dyDescent="0.25">
      <c r="A17" t="s">
        <v>24</v>
      </c>
      <c r="B17" s="30">
        <f>181*E17</f>
        <v>8326</v>
      </c>
      <c r="C17" s="10">
        <f t="shared" si="2"/>
        <v>111861</v>
      </c>
      <c r="D17" s="7"/>
      <c r="E17" s="10">
        <v>46</v>
      </c>
      <c r="F17" s="10">
        <v>120187</v>
      </c>
      <c r="G17" s="7"/>
      <c r="H17" s="7">
        <f t="shared" si="0"/>
        <v>6.9275379200745499</v>
      </c>
      <c r="I17" s="7">
        <f t="shared" si="1"/>
        <v>93.072462079925444</v>
      </c>
      <c r="J17" s="7"/>
      <c r="K17" s="7"/>
      <c r="L17" s="7"/>
    </row>
    <row r="18" spans="1:12" x14ac:dyDescent="0.25">
      <c r="A18" t="s">
        <v>25</v>
      </c>
      <c r="B18" s="30">
        <f>243*E18</f>
        <v>11664</v>
      </c>
      <c r="C18" s="10">
        <f t="shared" si="2"/>
        <v>77823</v>
      </c>
      <c r="D18" s="7"/>
      <c r="E18" s="10">
        <v>48</v>
      </c>
      <c r="F18" s="10">
        <v>89487</v>
      </c>
      <c r="G18" s="7"/>
      <c r="H18" s="7">
        <f t="shared" si="0"/>
        <v>13.034295484260284</v>
      </c>
      <c r="I18" s="7">
        <f t="shared" si="1"/>
        <v>86.965704515739716</v>
      </c>
      <c r="J18" s="7"/>
      <c r="K18" s="7"/>
      <c r="L18" s="7"/>
    </row>
    <row r="19" spans="1:12" x14ac:dyDescent="0.25">
      <c r="A19" t="s">
        <v>26</v>
      </c>
      <c r="B19" s="30">
        <f>6*E19</f>
        <v>288</v>
      </c>
      <c r="C19" s="10">
        <f t="shared" si="2"/>
        <v>61851</v>
      </c>
      <c r="D19" s="7"/>
      <c r="E19" s="10">
        <v>48</v>
      </c>
      <c r="F19" s="10">
        <v>62139</v>
      </c>
      <c r="G19" s="7"/>
      <c r="H19" s="7">
        <f t="shared" si="0"/>
        <v>0.46347704340269391</v>
      </c>
      <c r="I19" s="7">
        <f t="shared" si="1"/>
        <v>99.53652295659731</v>
      </c>
      <c r="J19" s="7"/>
      <c r="K19" s="7"/>
      <c r="L19" s="7"/>
    </row>
    <row r="20" spans="1:12" x14ac:dyDescent="0.25">
      <c r="A20" t="s">
        <v>27</v>
      </c>
      <c r="B20" s="30">
        <f>198*E20</f>
        <v>9504</v>
      </c>
      <c r="C20" s="10">
        <f t="shared" si="2"/>
        <v>28966</v>
      </c>
      <c r="D20" s="7"/>
      <c r="E20" s="10">
        <v>48</v>
      </c>
      <c r="F20" s="10">
        <v>38470</v>
      </c>
      <c r="G20" s="7"/>
      <c r="H20" s="7">
        <f t="shared" si="0"/>
        <v>24.704964907720299</v>
      </c>
      <c r="I20" s="7">
        <f t="shared" si="1"/>
        <v>75.29503509227969</v>
      </c>
      <c r="J20" s="7"/>
      <c r="K20" s="7"/>
      <c r="L20" s="7"/>
    </row>
    <row r="21" spans="1:12" x14ac:dyDescent="0.25">
      <c r="A21" t="s">
        <v>28</v>
      </c>
      <c r="B21" s="30">
        <f>1088*E21</f>
        <v>17408</v>
      </c>
      <c r="C21" s="10">
        <f t="shared" si="2"/>
        <v>16724</v>
      </c>
      <c r="D21" s="7"/>
      <c r="E21" s="10">
        <v>16</v>
      </c>
      <c r="F21" s="10">
        <v>34132</v>
      </c>
      <c r="G21" s="7"/>
      <c r="H21" s="7">
        <f t="shared" si="0"/>
        <v>51.001992265322862</v>
      </c>
      <c r="I21" s="7">
        <f t="shared" si="1"/>
        <v>48.998007734677138</v>
      </c>
      <c r="J21" s="7"/>
      <c r="K21" s="7"/>
      <c r="L21" s="7"/>
    </row>
    <row r="22" spans="1:12" x14ac:dyDescent="0.25">
      <c r="A22" t="s">
        <v>29</v>
      </c>
      <c r="B22" s="30">
        <f>53*E22</f>
        <v>212</v>
      </c>
      <c r="C22" s="10">
        <f t="shared" si="2"/>
        <v>8576</v>
      </c>
      <c r="D22" s="7"/>
      <c r="E22" s="10">
        <v>4</v>
      </c>
      <c r="F22" s="10">
        <v>8788</v>
      </c>
      <c r="G22" s="7"/>
      <c r="H22" s="7">
        <f t="shared" si="0"/>
        <v>2.4123805188893948</v>
      </c>
      <c r="I22" s="7">
        <f t="shared" si="1"/>
        <v>97.587619481110607</v>
      </c>
      <c r="J22" s="7"/>
      <c r="K22" s="7"/>
      <c r="L22" s="7"/>
    </row>
    <row r="23" spans="1:12" ht="15.75" x14ac:dyDescent="0.25">
      <c r="B23" s="28"/>
    </row>
    <row r="25" spans="1:12" x14ac:dyDescent="0.25">
      <c r="A25" s="26"/>
    </row>
    <row r="39" spans="1:12" ht="15.75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ht="15.75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ht="15.7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1:12" ht="15.7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spans="1:12" ht="15.7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1:12" ht="15.7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ht="15.7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12" ht="15.7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ht="15.7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 ht="15.7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 ht="15.75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15.75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1:12" ht="15.75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spans="1:12" ht="15.75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15.75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15.75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spans="1:12" ht="15.75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1:12" ht="15.75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spans="1:12" ht="15.75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spans="1:12" ht="15.75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spans="1:12" ht="15.75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C797-EBD9-4000-A36D-EE8F2B1F220C}">
  <dimension ref="A1:P22"/>
  <sheetViews>
    <sheetView workbookViewId="0">
      <selection activeCell="B10" sqref="B10"/>
    </sheetView>
  </sheetViews>
  <sheetFormatPr baseColWidth="10" defaultRowHeight="15" x14ac:dyDescent="0.25"/>
  <cols>
    <col min="1" max="1" width="19.28515625" customWidth="1"/>
    <col min="2" max="3" width="23.28515625" customWidth="1"/>
    <col min="6" max="6" width="16.85546875" customWidth="1"/>
    <col min="8" max="8" width="24.5703125" customWidth="1"/>
    <col min="9" max="9" width="21.28515625" customWidth="1"/>
    <col min="13" max="13" width="19" customWidth="1"/>
    <col min="14" max="14" width="20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  <c r="M1" t="s">
        <v>92</v>
      </c>
      <c r="N1" t="s">
        <v>89</v>
      </c>
      <c r="O1" t="s">
        <v>90</v>
      </c>
      <c r="P1" t="s">
        <v>91</v>
      </c>
    </row>
    <row r="2" spans="1:16" x14ac:dyDescent="0.25">
      <c r="A2" s="2" t="s">
        <v>10</v>
      </c>
      <c r="B2" s="8">
        <f>SUM(B3:B17)</f>
        <v>1217416</v>
      </c>
      <c r="C2" s="8">
        <f>F2-B2</f>
        <v>1917897</v>
      </c>
      <c r="D2" s="9"/>
      <c r="E2" s="9"/>
      <c r="F2" s="9">
        <v>3135313</v>
      </c>
      <c r="G2" s="3"/>
      <c r="H2" s="21">
        <f>B2/F2*100</f>
        <v>38.829169527890834</v>
      </c>
      <c r="I2" s="21">
        <f>C2/F2*100</f>
        <v>61.170830472109159</v>
      </c>
      <c r="K2" s="10">
        <v>1449</v>
      </c>
      <c r="L2" s="14">
        <v>2.0299999999999998</v>
      </c>
      <c r="M2" s="2" t="s">
        <v>10</v>
      </c>
      <c r="N2">
        <v>69807</v>
      </c>
      <c r="O2" s="10">
        <f>SUM(O3:O17)</f>
        <v>25392</v>
      </c>
      <c r="P2" s="10">
        <f>N2-O2</f>
        <v>44415</v>
      </c>
    </row>
    <row r="3" spans="1:16" x14ac:dyDescent="0.25">
      <c r="A3" t="s">
        <v>3</v>
      </c>
      <c r="B3" s="10">
        <f>8200*48</f>
        <v>393600</v>
      </c>
      <c r="C3" s="15">
        <v>434431</v>
      </c>
      <c r="D3" s="10"/>
      <c r="E3" s="10">
        <v>48</v>
      </c>
      <c r="F3" s="10">
        <f>B3+C3</f>
        <v>828031</v>
      </c>
      <c r="H3" s="14">
        <f>B3/F3*100</f>
        <v>47.534452212537936</v>
      </c>
      <c r="I3" s="14">
        <f t="shared" ref="I3:I17" si="0">C3/F3*100</f>
        <v>52.465547787462064</v>
      </c>
      <c r="M3" t="s">
        <v>3</v>
      </c>
      <c r="O3" s="10">
        <f>8200</f>
        <v>8200</v>
      </c>
    </row>
    <row r="4" spans="1:16" x14ac:dyDescent="0.25">
      <c r="A4" t="s">
        <v>4</v>
      </c>
      <c r="B4" s="10">
        <f>3878*48</f>
        <v>186144</v>
      </c>
      <c r="C4" s="15">
        <v>271643</v>
      </c>
      <c r="D4" s="10"/>
      <c r="E4" s="10">
        <v>48</v>
      </c>
      <c r="F4" s="10">
        <f t="shared" ref="F4:F17" si="1">B4+C4</f>
        <v>457787</v>
      </c>
      <c r="H4" s="14">
        <f t="shared" ref="H4:H17" si="2">B4/F4*100</f>
        <v>40.661705116134797</v>
      </c>
      <c r="I4" s="14">
        <f t="shared" si="0"/>
        <v>59.338294883865203</v>
      </c>
      <c r="M4" t="s">
        <v>4</v>
      </c>
      <c r="O4" s="10">
        <f>3878</f>
        <v>3878</v>
      </c>
    </row>
    <row r="5" spans="1:16" x14ac:dyDescent="0.25">
      <c r="A5" t="s">
        <v>5</v>
      </c>
      <c r="B5" s="10">
        <f>2901*48</f>
        <v>139248</v>
      </c>
      <c r="C5" s="15">
        <v>249186</v>
      </c>
      <c r="D5" s="10"/>
      <c r="E5" s="10">
        <v>48</v>
      </c>
      <c r="F5" s="10">
        <f t="shared" si="1"/>
        <v>388434</v>
      </c>
      <c r="H5" s="14">
        <f t="shared" si="2"/>
        <v>35.848561145522787</v>
      </c>
      <c r="I5" s="14">
        <f t="shared" si="0"/>
        <v>64.151438854477206</v>
      </c>
      <c r="M5" t="s">
        <v>5</v>
      </c>
      <c r="O5" s="10">
        <f>2901</f>
        <v>2901</v>
      </c>
    </row>
    <row r="6" spans="1:16" x14ac:dyDescent="0.25">
      <c r="A6" t="s">
        <v>52</v>
      </c>
      <c r="B6" s="10">
        <f>2473*48</f>
        <v>118704</v>
      </c>
      <c r="C6" s="15">
        <v>217349</v>
      </c>
      <c r="D6" s="10"/>
      <c r="E6" s="10">
        <v>48</v>
      </c>
      <c r="F6" s="10">
        <f t="shared" si="1"/>
        <v>336053</v>
      </c>
      <c r="H6" s="14">
        <f t="shared" si="2"/>
        <v>35.32299964588919</v>
      </c>
      <c r="I6" s="14">
        <f t="shared" si="0"/>
        <v>64.677000354110817</v>
      </c>
      <c r="M6" t="s">
        <v>52</v>
      </c>
      <c r="O6" s="10">
        <f>2473</f>
        <v>2473</v>
      </c>
    </row>
    <row r="7" spans="1:16" x14ac:dyDescent="0.25">
      <c r="A7" t="s">
        <v>7</v>
      </c>
      <c r="B7" s="10">
        <f>1278*48</f>
        <v>61344</v>
      </c>
      <c r="C7" s="15">
        <v>99191</v>
      </c>
      <c r="D7" s="10"/>
      <c r="E7" s="10">
        <v>48</v>
      </c>
      <c r="F7" s="10">
        <f t="shared" si="1"/>
        <v>160535</v>
      </c>
      <c r="H7" s="14">
        <f t="shared" si="2"/>
        <v>38.212227863082816</v>
      </c>
      <c r="I7" s="14">
        <f t="shared" si="0"/>
        <v>61.787772136917184</v>
      </c>
      <c r="M7" t="s">
        <v>7</v>
      </c>
      <c r="O7" s="10">
        <f>1278</f>
        <v>1278</v>
      </c>
    </row>
    <row r="8" spans="1:16" x14ac:dyDescent="0.25">
      <c r="A8" t="s">
        <v>6</v>
      </c>
      <c r="B8" s="10">
        <f>1068*48</f>
        <v>51264</v>
      </c>
      <c r="C8" s="15">
        <v>105043</v>
      </c>
      <c r="D8" s="10"/>
      <c r="E8" s="10">
        <v>48</v>
      </c>
      <c r="F8" s="10">
        <f t="shared" si="1"/>
        <v>156307</v>
      </c>
      <c r="H8" s="14">
        <f t="shared" si="2"/>
        <v>32.796995655984695</v>
      </c>
      <c r="I8" s="14">
        <f t="shared" si="0"/>
        <v>67.203004344015298</v>
      </c>
      <c r="M8" t="s">
        <v>6</v>
      </c>
      <c r="O8" s="10">
        <f>1068</f>
        <v>1068</v>
      </c>
    </row>
    <row r="9" spans="1:16" x14ac:dyDescent="0.25">
      <c r="A9" t="s">
        <v>16</v>
      </c>
      <c r="B9" s="10">
        <f>1565*48</f>
        <v>75120</v>
      </c>
      <c r="C9" s="15">
        <v>98995</v>
      </c>
      <c r="D9" s="10"/>
      <c r="E9" s="10">
        <v>48</v>
      </c>
      <c r="F9" s="10">
        <f t="shared" si="1"/>
        <v>174115</v>
      </c>
      <c r="H9" s="14">
        <f t="shared" si="2"/>
        <v>43.143899147115413</v>
      </c>
      <c r="I9" s="14">
        <f t="shared" si="0"/>
        <v>56.85610085288458</v>
      </c>
      <c r="M9" t="s">
        <v>16</v>
      </c>
      <c r="O9" s="10">
        <f>1565</f>
        <v>1565</v>
      </c>
    </row>
    <row r="10" spans="1:16" x14ac:dyDescent="0.25">
      <c r="A10" t="s">
        <v>53</v>
      </c>
      <c r="B10" s="10">
        <f>384*48</f>
        <v>18432</v>
      </c>
      <c r="C10" s="15">
        <v>78539</v>
      </c>
      <c r="D10" s="10"/>
      <c r="E10" s="10">
        <v>48</v>
      </c>
      <c r="F10" s="10">
        <f t="shared" si="1"/>
        <v>96971</v>
      </c>
      <c r="H10" s="14">
        <f t="shared" si="2"/>
        <v>19.00774458343216</v>
      </c>
      <c r="I10" s="14">
        <f t="shared" si="0"/>
        <v>80.992255416567843</v>
      </c>
      <c r="M10" t="s">
        <v>53</v>
      </c>
      <c r="O10" s="10">
        <f>384</f>
        <v>384</v>
      </c>
    </row>
    <row r="11" spans="1:16" x14ac:dyDescent="0.25">
      <c r="A11" t="s">
        <v>54</v>
      </c>
      <c r="B11" s="10">
        <f>340*48</f>
        <v>16320</v>
      </c>
      <c r="C11" s="15">
        <v>50677</v>
      </c>
      <c r="D11" s="10"/>
      <c r="E11" s="10">
        <v>48</v>
      </c>
      <c r="F11" s="10">
        <f t="shared" si="1"/>
        <v>66997</v>
      </c>
      <c r="H11" s="14">
        <f t="shared" si="2"/>
        <v>24.359299670134487</v>
      </c>
      <c r="I11" s="14">
        <f t="shared" si="0"/>
        <v>75.640700329865524</v>
      </c>
      <c r="M11" t="s">
        <v>54</v>
      </c>
      <c r="O11" s="10">
        <f>340</f>
        <v>340</v>
      </c>
    </row>
    <row r="12" spans="1:16" x14ac:dyDescent="0.25">
      <c r="A12" t="s">
        <v>24</v>
      </c>
      <c r="B12" s="10">
        <f>623*48</f>
        <v>29904</v>
      </c>
      <c r="C12" s="15">
        <v>52322</v>
      </c>
      <c r="D12" s="10"/>
      <c r="E12" s="10">
        <v>48</v>
      </c>
      <c r="F12" s="10">
        <f t="shared" si="1"/>
        <v>82226</v>
      </c>
      <c r="H12" s="14">
        <f t="shared" si="2"/>
        <v>36.368058764867563</v>
      </c>
      <c r="I12" s="14">
        <f t="shared" si="0"/>
        <v>63.631941235132437</v>
      </c>
      <c r="M12" t="s">
        <v>24</v>
      </c>
      <c r="O12" s="10">
        <f>623</f>
        <v>623</v>
      </c>
    </row>
    <row r="13" spans="1:16" x14ac:dyDescent="0.25">
      <c r="A13" t="s">
        <v>55</v>
      </c>
      <c r="B13" s="10">
        <f>584*48</f>
        <v>28032</v>
      </c>
      <c r="C13" s="15">
        <v>71493</v>
      </c>
      <c r="D13" s="10"/>
      <c r="E13" s="10">
        <v>48</v>
      </c>
      <c r="F13" s="10">
        <f t="shared" si="1"/>
        <v>99525</v>
      </c>
      <c r="H13" s="14">
        <f t="shared" si="2"/>
        <v>28.165787490580257</v>
      </c>
      <c r="I13" s="14">
        <f t="shared" si="0"/>
        <v>71.834212509419743</v>
      </c>
      <c r="M13" t="s">
        <v>55</v>
      </c>
      <c r="O13" s="10">
        <f>584</f>
        <v>584</v>
      </c>
    </row>
    <row r="14" spans="1:16" x14ac:dyDescent="0.25">
      <c r="A14" t="s">
        <v>8</v>
      </c>
      <c r="B14" s="10">
        <f>190*48</f>
        <v>9120</v>
      </c>
      <c r="C14" s="15">
        <v>29790</v>
      </c>
      <c r="D14" s="10"/>
      <c r="E14" s="10">
        <v>48</v>
      </c>
      <c r="F14" s="10">
        <f t="shared" si="1"/>
        <v>38910</v>
      </c>
      <c r="H14" s="14">
        <f t="shared" si="2"/>
        <v>23.438704703161143</v>
      </c>
      <c r="I14" s="14">
        <f t="shared" si="0"/>
        <v>76.561295296838864</v>
      </c>
      <c r="M14" t="s">
        <v>8</v>
      </c>
      <c r="O14" s="10">
        <f>190</f>
        <v>190</v>
      </c>
    </row>
    <row r="15" spans="1:16" x14ac:dyDescent="0.25">
      <c r="A15" t="s">
        <v>56</v>
      </c>
      <c r="B15" s="10">
        <f>389*48</f>
        <v>18672</v>
      </c>
      <c r="C15" s="15">
        <v>37303</v>
      </c>
      <c r="D15" s="10"/>
      <c r="E15" s="10">
        <v>48</v>
      </c>
      <c r="F15" s="10">
        <f t="shared" si="1"/>
        <v>55975</v>
      </c>
      <c r="H15" s="14">
        <f t="shared" si="2"/>
        <v>33.357748995087093</v>
      </c>
      <c r="I15" s="14">
        <f t="shared" si="0"/>
        <v>66.642251004912907</v>
      </c>
      <c r="M15" t="s">
        <v>56</v>
      </c>
      <c r="O15" s="10">
        <f>389</f>
        <v>389</v>
      </c>
    </row>
    <row r="16" spans="1:16" x14ac:dyDescent="0.25">
      <c r="A16" t="s">
        <v>17</v>
      </c>
      <c r="B16" s="10">
        <v>71232</v>
      </c>
      <c r="C16" s="15">
        <v>109596</v>
      </c>
      <c r="D16" s="10"/>
      <c r="E16" s="10">
        <v>48</v>
      </c>
      <c r="F16" s="10">
        <f t="shared" si="1"/>
        <v>180828</v>
      </c>
      <c r="H16" s="14">
        <f t="shared" si="2"/>
        <v>39.39212953746101</v>
      </c>
      <c r="I16" s="14">
        <f t="shared" si="0"/>
        <v>60.607870462538983</v>
      </c>
      <c r="M16" t="s">
        <v>17</v>
      </c>
      <c r="O16" s="15">
        <v>1484</v>
      </c>
    </row>
    <row r="17" spans="1:15" x14ac:dyDescent="0.25">
      <c r="A17" t="s">
        <v>57</v>
      </c>
      <c r="B17" s="10">
        <f>35*8</f>
        <v>280</v>
      </c>
      <c r="C17" s="15">
        <v>12339</v>
      </c>
      <c r="D17" s="10"/>
      <c r="E17" s="10">
        <v>8</v>
      </c>
      <c r="F17" s="10">
        <f t="shared" si="1"/>
        <v>12619</v>
      </c>
      <c r="H17" s="14">
        <f t="shared" si="2"/>
        <v>2.2188762976464065</v>
      </c>
      <c r="I17" s="14">
        <f t="shared" si="0"/>
        <v>97.781123702353597</v>
      </c>
      <c r="M17" t="s">
        <v>57</v>
      </c>
      <c r="O17" s="10">
        <f>35</f>
        <v>35</v>
      </c>
    </row>
    <row r="22" spans="1:15" x14ac:dyDescent="0.25">
      <c r="C22" s="1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92FD-86C4-4F0C-B495-E9D7C2221097}">
  <dimension ref="A1:P27"/>
  <sheetViews>
    <sheetView workbookViewId="0">
      <selection activeCell="L18" sqref="L18"/>
    </sheetView>
  </sheetViews>
  <sheetFormatPr baseColWidth="10" defaultRowHeight="15" x14ac:dyDescent="0.25"/>
  <cols>
    <col min="1" max="1" width="35.5703125" customWidth="1"/>
    <col min="2" max="3" width="23.5703125" customWidth="1"/>
    <col min="6" max="6" width="17.85546875" customWidth="1"/>
    <col min="8" max="9" width="21.5703125" customWidth="1"/>
    <col min="13" max="13" width="26.140625" customWidth="1"/>
    <col min="14" max="14" width="18.140625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  <c r="M1" t="s">
        <v>92</v>
      </c>
      <c r="N1" t="s">
        <v>89</v>
      </c>
      <c r="O1" t="s">
        <v>90</v>
      </c>
      <c r="P1" t="s">
        <v>91</v>
      </c>
    </row>
    <row r="2" spans="1:16" x14ac:dyDescent="0.25">
      <c r="A2" s="2" t="s">
        <v>10</v>
      </c>
      <c r="B2" s="8">
        <f>SUM(B3:B11)</f>
        <v>563485</v>
      </c>
      <c r="C2" s="8">
        <f>SUM(C3:C11)</f>
        <v>1238687</v>
      </c>
      <c r="D2" s="3"/>
      <c r="E2" s="2"/>
      <c r="F2" s="22">
        <f>SUM(F3:F11)</f>
        <v>1802172</v>
      </c>
      <c r="G2" s="2"/>
      <c r="H2" s="23">
        <f>B2/F2*100</f>
        <v>31.266993383539415</v>
      </c>
      <c r="I2" s="23">
        <f>C2/F2*100</f>
        <v>68.733006616460585</v>
      </c>
      <c r="K2" s="10">
        <v>1064</v>
      </c>
      <c r="L2">
        <v>2.15</v>
      </c>
      <c r="M2" t="s">
        <v>93</v>
      </c>
      <c r="N2">
        <v>48528</v>
      </c>
      <c r="O2" s="10">
        <f>SUM(O3:O11)</f>
        <v>14183</v>
      </c>
      <c r="P2" s="10">
        <f>N2-O2</f>
        <v>34345</v>
      </c>
    </row>
    <row r="3" spans="1:16" x14ac:dyDescent="0.25">
      <c r="A3" t="s">
        <v>58</v>
      </c>
      <c r="B3" s="10">
        <v>237560</v>
      </c>
      <c r="C3" s="10">
        <f>F3-B3</f>
        <v>370227</v>
      </c>
      <c r="E3">
        <v>40</v>
      </c>
      <c r="F3">
        <v>607787</v>
      </c>
      <c r="H3" s="18">
        <f t="shared" ref="H3:H11" si="0">B3/F3*100</f>
        <v>39.086061399799597</v>
      </c>
      <c r="I3" s="18">
        <f t="shared" ref="I3:I11" si="1">C3/F3*100</f>
        <v>60.913938600200403</v>
      </c>
      <c r="M3" t="s">
        <v>58</v>
      </c>
      <c r="O3" s="10">
        <v>5939</v>
      </c>
    </row>
    <row r="4" spans="1:16" x14ac:dyDescent="0.25">
      <c r="A4" t="s">
        <v>5</v>
      </c>
      <c r="B4" s="10">
        <v>69320</v>
      </c>
      <c r="C4" s="10">
        <f>F4-B4</f>
        <v>194388</v>
      </c>
      <c r="E4">
        <v>40</v>
      </c>
      <c r="F4" s="17">
        <v>263708</v>
      </c>
      <c r="H4" s="18">
        <f t="shared" si="0"/>
        <v>26.286650386033038</v>
      </c>
      <c r="I4" s="18">
        <f t="shared" si="1"/>
        <v>73.713349613966955</v>
      </c>
      <c r="M4" t="s">
        <v>5</v>
      </c>
      <c r="O4" s="27">
        <v>1733</v>
      </c>
    </row>
    <row r="5" spans="1:16" x14ac:dyDescent="0.25">
      <c r="A5" t="s">
        <v>59</v>
      </c>
      <c r="B5" s="10">
        <v>72880</v>
      </c>
      <c r="C5" s="10">
        <f t="shared" ref="C5:C11" si="2">F5-B5</f>
        <v>178503</v>
      </c>
      <c r="E5">
        <v>40</v>
      </c>
      <c r="F5">
        <v>251383</v>
      </c>
      <c r="H5" s="18">
        <f t="shared" si="0"/>
        <v>28.991618367192689</v>
      </c>
      <c r="I5" s="18">
        <f t="shared" si="1"/>
        <v>71.0083816328073</v>
      </c>
      <c r="M5" t="s">
        <v>59</v>
      </c>
      <c r="O5" s="27">
        <v>1822</v>
      </c>
    </row>
    <row r="6" spans="1:16" x14ac:dyDescent="0.25">
      <c r="A6" t="s">
        <v>4</v>
      </c>
      <c r="B6" s="10">
        <v>72760</v>
      </c>
      <c r="C6" s="10">
        <f t="shared" si="2"/>
        <v>167558</v>
      </c>
      <c r="E6">
        <v>40</v>
      </c>
      <c r="F6">
        <v>240318</v>
      </c>
      <c r="H6" s="18">
        <f t="shared" si="0"/>
        <v>30.276550237601846</v>
      </c>
      <c r="I6" s="18">
        <f t="shared" si="1"/>
        <v>69.723449762398161</v>
      </c>
      <c r="M6" t="s">
        <v>4</v>
      </c>
      <c r="O6" s="27">
        <v>1819</v>
      </c>
    </row>
    <row r="7" spans="1:16" x14ac:dyDescent="0.25">
      <c r="A7" t="s">
        <v>60</v>
      </c>
      <c r="B7" s="10">
        <v>44960</v>
      </c>
      <c r="C7" s="10">
        <f t="shared" si="2"/>
        <v>122535</v>
      </c>
      <c r="E7">
        <v>40</v>
      </c>
      <c r="F7">
        <v>167495</v>
      </c>
      <c r="H7" s="18">
        <f t="shared" si="0"/>
        <v>26.84259231618854</v>
      </c>
      <c r="I7" s="18">
        <f t="shared" si="1"/>
        <v>73.157407683811456</v>
      </c>
      <c r="M7" t="s">
        <v>60</v>
      </c>
      <c r="O7" s="27">
        <v>1124</v>
      </c>
    </row>
    <row r="8" spans="1:16" x14ac:dyDescent="0.25">
      <c r="A8" t="s">
        <v>6</v>
      </c>
      <c r="B8" s="10">
        <v>24840</v>
      </c>
      <c r="C8" s="10">
        <f t="shared" si="2"/>
        <v>69513</v>
      </c>
      <c r="E8">
        <v>40</v>
      </c>
      <c r="F8">
        <v>94353</v>
      </c>
      <c r="H8" s="18">
        <f t="shared" si="0"/>
        <v>26.326666878636612</v>
      </c>
      <c r="I8" s="18">
        <f t="shared" si="1"/>
        <v>73.673333121363399</v>
      </c>
      <c r="M8" t="s">
        <v>6</v>
      </c>
      <c r="O8" s="27">
        <v>621</v>
      </c>
    </row>
    <row r="9" spans="1:16" x14ac:dyDescent="0.25">
      <c r="A9" t="s">
        <v>61</v>
      </c>
      <c r="B9" s="10">
        <v>22640</v>
      </c>
      <c r="C9" s="10">
        <f t="shared" si="2"/>
        <v>44125</v>
      </c>
      <c r="E9">
        <v>40</v>
      </c>
      <c r="F9">
        <v>66765</v>
      </c>
      <c r="H9" s="18">
        <f t="shared" si="0"/>
        <v>33.909982775406277</v>
      </c>
      <c r="I9" s="18">
        <f t="shared" si="1"/>
        <v>66.090017224593723</v>
      </c>
      <c r="M9" t="s">
        <v>61</v>
      </c>
      <c r="O9" s="27">
        <v>566</v>
      </c>
    </row>
    <row r="10" spans="1:16" x14ac:dyDescent="0.25">
      <c r="A10" t="s">
        <v>62</v>
      </c>
      <c r="B10" s="10">
        <v>1638</v>
      </c>
      <c r="C10" s="10">
        <f t="shared" si="2"/>
        <v>25028</v>
      </c>
      <c r="E10">
        <v>13</v>
      </c>
      <c r="F10">
        <v>26666</v>
      </c>
      <c r="H10" s="18">
        <f t="shared" si="0"/>
        <v>6.1426535663391579</v>
      </c>
      <c r="I10" s="18">
        <f t="shared" si="1"/>
        <v>93.857346433660837</v>
      </c>
      <c r="M10" t="s">
        <v>62</v>
      </c>
      <c r="O10" s="27">
        <v>126</v>
      </c>
    </row>
    <row r="11" spans="1:16" x14ac:dyDescent="0.25">
      <c r="A11" t="s">
        <v>44</v>
      </c>
      <c r="B11" s="10">
        <v>16887</v>
      </c>
      <c r="C11" s="10">
        <f t="shared" si="2"/>
        <v>66810</v>
      </c>
      <c r="E11">
        <v>39</v>
      </c>
      <c r="F11">
        <v>83697</v>
      </c>
      <c r="H11" s="18">
        <f t="shared" si="0"/>
        <v>20.176350406824618</v>
      </c>
      <c r="I11" s="18">
        <f t="shared" si="1"/>
        <v>79.823649593175389</v>
      </c>
      <c r="M11" t="s">
        <v>44</v>
      </c>
      <c r="O11" s="27">
        <v>433</v>
      </c>
    </row>
    <row r="27" spans="13:13" x14ac:dyDescent="0.25">
      <c r="M27" s="1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8C02-D70F-4B72-9094-2BF38A43035B}">
  <dimension ref="A1:P84"/>
  <sheetViews>
    <sheetView workbookViewId="0">
      <selection activeCell="I8" sqref="I8"/>
    </sheetView>
  </sheetViews>
  <sheetFormatPr baseColWidth="10" defaultRowHeight="15" x14ac:dyDescent="0.25"/>
  <cols>
    <col min="1" max="1" width="24" customWidth="1"/>
    <col min="2" max="3" width="23" customWidth="1"/>
    <col min="6" max="6" width="23.7109375" customWidth="1"/>
    <col min="8" max="9" width="23.5703125" customWidth="1"/>
    <col min="10" max="10" width="7.5703125" bestFit="1" customWidth="1"/>
    <col min="11" max="11" width="14.28515625" customWidth="1"/>
    <col min="13" max="13" width="20.28515625" customWidth="1"/>
    <col min="14" max="14" width="18.42578125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  <c r="M1" t="s">
        <v>92</v>
      </c>
      <c r="N1" t="s">
        <v>89</v>
      </c>
      <c r="O1" t="s">
        <v>90</v>
      </c>
      <c r="P1" t="s">
        <v>91</v>
      </c>
    </row>
    <row r="2" spans="1:16" x14ac:dyDescent="0.25">
      <c r="A2" s="2" t="s">
        <v>10</v>
      </c>
      <c r="B2" s="8">
        <f>SUM(B3:B14)</f>
        <v>336738</v>
      </c>
      <c r="C2" s="8">
        <f>SUM(C3:C14)</f>
        <v>1237207</v>
      </c>
      <c r="D2" s="9"/>
      <c r="E2" s="9"/>
      <c r="F2" s="8">
        <f>SUM(F3:F14)</f>
        <v>1573945</v>
      </c>
      <c r="G2" s="3"/>
      <c r="H2" s="21">
        <f>(B2/F2)*100</f>
        <v>21.394521409579113</v>
      </c>
      <c r="I2" s="21">
        <f>(C2/F2)*100</f>
        <v>78.605478590420887</v>
      </c>
      <c r="K2">
        <v>835</v>
      </c>
      <c r="L2">
        <v>1.88</v>
      </c>
      <c r="M2" s="2" t="s">
        <v>10</v>
      </c>
      <c r="N2">
        <v>43630</v>
      </c>
      <c r="O2" s="10">
        <f>SUM(O3:O14)</f>
        <v>8813</v>
      </c>
      <c r="P2" s="10">
        <f>N2-O2</f>
        <v>34817</v>
      </c>
    </row>
    <row r="3" spans="1:16" x14ac:dyDescent="0.25">
      <c r="A3" t="s">
        <v>4</v>
      </c>
      <c r="B3" s="10">
        <f>E3*2355</f>
        <v>94200</v>
      </c>
      <c r="C3" s="10">
        <f>F3-B3</f>
        <v>277007</v>
      </c>
      <c r="D3" s="10"/>
      <c r="E3" s="10">
        <v>40</v>
      </c>
      <c r="F3" s="10">
        <v>371207</v>
      </c>
      <c r="H3" s="14">
        <f t="shared" ref="H3:H14" si="0">(B3/F3)*100</f>
        <v>25.376676625171402</v>
      </c>
      <c r="I3" s="14">
        <f t="shared" ref="I3:I14" si="1">(C3/F3)*100</f>
        <v>74.623323374828601</v>
      </c>
      <c r="M3" t="s">
        <v>4</v>
      </c>
      <c r="O3" s="10">
        <f>2355</f>
        <v>2355</v>
      </c>
    </row>
    <row r="4" spans="1:16" x14ac:dyDescent="0.25">
      <c r="A4" t="s">
        <v>46</v>
      </c>
      <c r="B4" s="10">
        <f>E4*1696</f>
        <v>67840</v>
      </c>
      <c r="C4" s="10">
        <f t="shared" ref="C4:C14" si="2">F4-B4</f>
        <v>149397</v>
      </c>
      <c r="D4" s="10"/>
      <c r="E4" s="10">
        <v>40</v>
      </c>
      <c r="F4" s="10">
        <v>217237</v>
      </c>
      <c r="H4" s="14">
        <f t="shared" si="0"/>
        <v>31.228566036172474</v>
      </c>
      <c r="I4" s="14">
        <f t="shared" si="1"/>
        <v>68.771433963827519</v>
      </c>
      <c r="M4" t="s">
        <v>46</v>
      </c>
      <c r="O4" s="10">
        <f>1696</f>
        <v>1696</v>
      </c>
    </row>
    <row r="5" spans="1:16" x14ac:dyDescent="0.25">
      <c r="A5" t="s">
        <v>5</v>
      </c>
      <c r="B5" s="10">
        <f>E5*1129</f>
        <v>45160</v>
      </c>
      <c r="C5" s="10">
        <f t="shared" si="2"/>
        <v>185452</v>
      </c>
      <c r="D5" s="10"/>
      <c r="E5" s="10">
        <v>40</v>
      </c>
      <c r="F5" s="10">
        <v>230612</v>
      </c>
      <c r="H5" s="14">
        <f t="shared" si="0"/>
        <v>19.582675663018403</v>
      </c>
      <c r="I5" s="14">
        <f t="shared" si="1"/>
        <v>80.417324336981594</v>
      </c>
      <c r="M5" t="s">
        <v>5</v>
      </c>
      <c r="O5" s="10">
        <f>1129</f>
        <v>1129</v>
      </c>
    </row>
    <row r="6" spans="1:16" x14ac:dyDescent="0.25">
      <c r="A6" t="s">
        <v>8</v>
      </c>
      <c r="B6" s="10">
        <f>E6*525</f>
        <v>21000</v>
      </c>
      <c r="C6" s="10">
        <f t="shared" si="2"/>
        <v>98047</v>
      </c>
      <c r="D6" s="10"/>
      <c r="E6" s="10">
        <v>40</v>
      </c>
      <c r="F6" s="10">
        <v>119047</v>
      </c>
      <c r="H6" s="14">
        <f t="shared" si="0"/>
        <v>17.640091728476989</v>
      </c>
      <c r="I6" s="14">
        <f t="shared" si="1"/>
        <v>82.359908271523011</v>
      </c>
      <c r="M6" t="s">
        <v>8</v>
      </c>
      <c r="O6" s="10">
        <f>525</f>
        <v>525</v>
      </c>
    </row>
    <row r="7" spans="1:16" x14ac:dyDescent="0.25">
      <c r="A7" t="s">
        <v>6</v>
      </c>
      <c r="B7" s="10">
        <f>E7*530</f>
        <v>21200</v>
      </c>
      <c r="C7" s="10">
        <f t="shared" si="2"/>
        <v>93830</v>
      </c>
      <c r="D7" s="10"/>
      <c r="E7" s="10">
        <v>40</v>
      </c>
      <c r="F7" s="10">
        <v>115030</v>
      </c>
      <c r="H7" s="14">
        <f t="shared" si="0"/>
        <v>18.42997478918543</v>
      </c>
      <c r="I7" s="14">
        <f t="shared" si="1"/>
        <v>81.570025210814563</v>
      </c>
      <c r="M7" t="s">
        <v>6</v>
      </c>
      <c r="O7" s="10">
        <f>530</f>
        <v>530</v>
      </c>
    </row>
    <row r="8" spans="1:16" x14ac:dyDescent="0.25">
      <c r="A8" t="s">
        <v>16</v>
      </c>
      <c r="B8" s="10">
        <f>E8*1351</f>
        <v>51338</v>
      </c>
      <c r="C8" s="10">
        <f t="shared" si="2"/>
        <v>199473</v>
      </c>
      <c r="D8" s="10"/>
      <c r="E8" s="10">
        <v>38</v>
      </c>
      <c r="F8" s="10">
        <v>250811</v>
      </c>
      <c r="H8" s="14">
        <f t="shared" si="0"/>
        <v>20.46879921534542</v>
      </c>
      <c r="I8" s="14">
        <f t="shared" si="1"/>
        <v>79.531200784654573</v>
      </c>
      <c r="M8" t="s">
        <v>16</v>
      </c>
      <c r="O8" s="10">
        <f>1351</f>
        <v>1351</v>
      </c>
    </row>
    <row r="9" spans="1:16" x14ac:dyDescent="0.25">
      <c r="A9" t="s">
        <v>48</v>
      </c>
      <c r="B9" s="10">
        <f>E9*34</f>
        <v>1360</v>
      </c>
      <c r="C9" s="10">
        <f t="shared" si="2"/>
        <v>52188</v>
      </c>
      <c r="D9" s="10"/>
      <c r="E9" s="10">
        <v>40</v>
      </c>
      <c r="F9" s="10">
        <v>53548</v>
      </c>
      <c r="H9" s="14">
        <f t="shared" si="0"/>
        <v>2.5397773959811758</v>
      </c>
      <c r="I9" s="14">
        <f t="shared" si="1"/>
        <v>97.460222604018824</v>
      </c>
      <c r="M9" t="s">
        <v>48</v>
      </c>
      <c r="O9" s="10">
        <f>343</f>
        <v>343</v>
      </c>
    </row>
    <row r="10" spans="1:16" x14ac:dyDescent="0.25">
      <c r="A10" t="s">
        <v>47</v>
      </c>
      <c r="B10" s="10">
        <f>E10*113</f>
        <v>4520</v>
      </c>
      <c r="C10" s="10">
        <f t="shared" si="2"/>
        <v>23217</v>
      </c>
      <c r="D10" s="10"/>
      <c r="E10" s="10">
        <v>40</v>
      </c>
      <c r="F10" s="10">
        <v>27737</v>
      </c>
      <c r="H10" s="14">
        <f t="shared" si="0"/>
        <v>16.295922414103906</v>
      </c>
      <c r="I10" s="14">
        <f t="shared" si="1"/>
        <v>83.704077585896101</v>
      </c>
      <c r="M10" t="s">
        <v>47</v>
      </c>
      <c r="O10" s="10">
        <f>113</f>
        <v>113</v>
      </c>
    </row>
    <row r="11" spans="1:16" x14ac:dyDescent="0.25">
      <c r="A11" t="s">
        <v>50</v>
      </c>
      <c r="B11" s="10">
        <f>E11*284</f>
        <v>11360</v>
      </c>
      <c r="C11" s="10">
        <f t="shared" si="2"/>
        <v>67706</v>
      </c>
      <c r="D11" s="10"/>
      <c r="E11" s="10">
        <v>40</v>
      </c>
      <c r="F11" s="10">
        <v>79066</v>
      </c>
      <c r="H11" s="14">
        <f t="shared" si="0"/>
        <v>14.367743404244553</v>
      </c>
      <c r="I11" s="14">
        <f t="shared" si="1"/>
        <v>85.632256595755436</v>
      </c>
      <c r="M11" t="s">
        <v>50</v>
      </c>
      <c r="O11" s="10">
        <f>284</f>
        <v>284</v>
      </c>
    </row>
    <row r="12" spans="1:16" x14ac:dyDescent="0.25">
      <c r="A12" t="s">
        <v>51</v>
      </c>
      <c r="B12" s="10">
        <f>E12*167</f>
        <v>6680</v>
      </c>
      <c r="C12" s="10">
        <f t="shared" si="2"/>
        <v>51511</v>
      </c>
      <c r="D12" s="10"/>
      <c r="E12" s="10">
        <v>40</v>
      </c>
      <c r="F12" s="10">
        <v>58191</v>
      </c>
      <c r="H12" s="14">
        <f t="shared" si="0"/>
        <v>11.479438401127322</v>
      </c>
      <c r="I12" s="14">
        <f t="shared" si="1"/>
        <v>88.520561598872689</v>
      </c>
      <c r="M12" t="s">
        <v>51</v>
      </c>
      <c r="O12" s="10">
        <f>167</f>
        <v>167</v>
      </c>
    </row>
    <row r="13" spans="1:16" x14ac:dyDescent="0.25">
      <c r="A13" t="s">
        <v>24</v>
      </c>
      <c r="B13" s="10">
        <f>E13*240</f>
        <v>8880</v>
      </c>
      <c r="C13" s="10">
        <f t="shared" si="2"/>
        <v>32586</v>
      </c>
      <c r="D13" s="10"/>
      <c r="E13" s="10">
        <v>37</v>
      </c>
      <c r="F13" s="10">
        <v>41466</v>
      </c>
      <c r="H13" s="14">
        <f t="shared" si="0"/>
        <v>21.415135291564173</v>
      </c>
      <c r="I13" s="14">
        <f t="shared" si="1"/>
        <v>78.58486470843583</v>
      </c>
      <c r="M13" t="s">
        <v>24</v>
      </c>
      <c r="O13" s="10">
        <f>240</f>
        <v>240</v>
      </c>
    </row>
    <row r="14" spans="1:16" x14ac:dyDescent="0.25">
      <c r="A14" t="s">
        <v>49</v>
      </c>
      <c r="B14" s="10">
        <f>E14*80</f>
        <v>3200</v>
      </c>
      <c r="C14" s="10">
        <f t="shared" si="2"/>
        <v>6793</v>
      </c>
      <c r="D14" s="10"/>
      <c r="E14" s="10">
        <v>40</v>
      </c>
      <c r="F14" s="10">
        <v>9993</v>
      </c>
      <c r="H14" s="14">
        <f t="shared" si="0"/>
        <v>32.022415690983692</v>
      </c>
      <c r="I14" s="14">
        <f t="shared" si="1"/>
        <v>67.977584309016308</v>
      </c>
      <c r="M14" t="s">
        <v>49</v>
      </c>
      <c r="O14" s="10">
        <f>80</f>
        <v>80</v>
      </c>
    </row>
    <row r="20" spans="2:3" x14ac:dyDescent="0.25">
      <c r="B20" s="10"/>
      <c r="C20" s="10"/>
    </row>
    <row r="21" spans="2:3" x14ac:dyDescent="0.25">
      <c r="B21" s="10"/>
      <c r="C21" s="10"/>
    </row>
    <row r="22" spans="2:3" x14ac:dyDescent="0.25">
      <c r="B22" s="10"/>
      <c r="C22" s="10"/>
    </row>
    <row r="25" spans="2:3" x14ac:dyDescent="0.25">
      <c r="B25" s="10"/>
      <c r="C25" s="10"/>
    </row>
    <row r="29" spans="2:3" x14ac:dyDescent="0.25">
      <c r="B29" s="10"/>
      <c r="C29" s="10"/>
    </row>
    <row r="32" spans="2:3" x14ac:dyDescent="0.25">
      <c r="C32" s="10"/>
    </row>
    <row r="44" spans="1:5" x14ac:dyDescent="0.25">
      <c r="A44" s="11"/>
      <c r="B44" s="11"/>
      <c r="C44" s="12"/>
    </row>
    <row r="45" spans="1:5" x14ac:dyDescent="0.25">
      <c r="A45" s="11"/>
      <c r="B45" s="13"/>
      <c r="C45" s="12"/>
    </row>
    <row r="46" spans="1:5" x14ac:dyDescent="0.25">
      <c r="A46" s="11"/>
      <c r="B46" s="11"/>
      <c r="C46" s="13"/>
      <c r="D46" s="12"/>
      <c r="E46" s="12"/>
    </row>
    <row r="47" spans="1:5" x14ac:dyDescent="0.25">
      <c r="A47" s="11"/>
      <c r="B47" s="11"/>
      <c r="C47" s="13"/>
      <c r="D47" s="12"/>
      <c r="E47" s="12"/>
    </row>
    <row r="48" spans="1:5" x14ac:dyDescent="0.25">
      <c r="A48" s="11"/>
      <c r="B48" s="11"/>
      <c r="C48" s="13"/>
      <c r="D48" s="12"/>
      <c r="E48" s="12"/>
    </row>
    <row r="49" spans="1:5" x14ac:dyDescent="0.25">
      <c r="A49" s="11"/>
      <c r="B49" s="11"/>
      <c r="C49" s="13"/>
      <c r="D49" s="12"/>
      <c r="E49" s="12"/>
    </row>
    <row r="50" spans="1:5" x14ac:dyDescent="0.25">
      <c r="A50" s="11"/>
      <c r="B50" s="11"/>
      <c r="C50" s="13"/>
      <c r="D50" s="12"/>
      <c r="E50" s="12"/>
    </row>
    <row r="51" spans="1:5" x14ac:dyDescent="0.25">
      <c r="A51" s="11"/>
      <c r="B51" s="11"/>
      <c r="C51" s="13"/>
      <c r="D51" s="12"/>
      <c r="E51" s="12"/>
    </row>
    <row r="52" spans="1:5" x14ac:dyDescent="0.25">
      <c r="A52" s="11"/>
      <c r="B52" s="11"/>
      <c r="C52" s="13"/>
      <c r="D52" s="12"/>
      <c r="E52" s="12"/>
    </row>
    <row r="53" spans="1:5" x14ac:dyDescent="0.25">
      <c r="A53" s="11"/>
      <c r="B53" s="11"/>
      <c r="C53" s="13"/>
      <c r="D53" s="12"/>
      <c r="E53" s="12"/>
    </row>
    <row r="54" spans="1:5" x14ac:dyDescent="0.25">
      <c r="A54" s="11"/>
      <c r="B54" s="11"/>
      <c r="C54" s="13"/>
      <c r="D54" s="12"/>
      <c r="E54" s="12"/>
    </row>
    <row r="55" spans="1:5" x14ac:dyDescent="0.25">
      <c r="A55" s="11"/>
      <c r="B55" s="11"/>
      <c r="C55" s="13"/>
      <c r="D55" s="12"/>
      <c r="E55" s="12"/>
    </row>
    <row r="56" spans="1:5" x14ac:dyDescent="0.25">
      <c r="A56" s="11"/>
      <c r="B56" s="11"/>
      <c r="C56" s="13"/>
      <c r="D56" s="12"/>
      <c r="E56" s="12"/>
    </row>
    <row r="57" spans="1:5" x14ac:dyDescent="0.25">
      <c r="A57" s="11"/>
      <c r="B57" s="11"/>
      <c r="C57" s="13"/>
      <c r="D57" s="12"/>
      <c r="E57" s="12"/>
    </row>
    <row r="58" spans="1:5" x14ac:dyDescent="0.25">
      <c r="A58" s="11"/>
      <c r="B58" s="11"/>
      <c r="C58" s="13"/>
      <c r="D58" s="12"/>
      <c r="E58" s="12"/>
    </row>
    <row r="59" spans="1:5" x14ac:dyDescent="0.25">
      <c r="A59" s="11"/>
      <c r="B59" s="11"/>
      <c r="C59" s="13"/>
      <c r="D59" s="12"/>
      <c r="E59" s="12"/>
    </row>
    <row r="60" spans="1:5" x14ac:dyDescent="0.25">
      <c r="A60" s="11"/>
      <c r="B60" s="11"/>
      <c r="C60" s="13"/>
      <c r="D60" s="12"/>
      <c r="E60" s="12"/>
    </row>
    <row r="61" spans="1:5" x14ac:dyDescent="0.25">
      <c r="A61" s="11"/>
      <c r="B61" s="11"/>
      <c r="C61" s="13"/>
      <c r="D61" s="12"/>
      <c r="E61" s="12"/>
    </row>
    <row r="62" spans="1:5" x14ac:dyDescent="0.25">
      <c r="A62" s="11"/>
      <c r="B62" s="11"/>
      <c r="C62" s="13"/>
      <c r="D62" s="12"/>
      <c r="E62" s="12"/>
    </row>
    <row r="63" spans="1:5" x14ac:dyDescent="0.25">
      <c r="A63" s="11"/>
      <c r="B63" s="11"/>
      <c r="C63" s="13"/>
      <c r="D63" s="12"/>
      <c r="E63" s="12"/>
    </row>
    <row r="64" spans="1:5" x14ac:dyDescent="0.25">
      <c r="A64" s="11"/>
      <c r="B64" s="11"/>
      <c r="C64" s="13"/>
      <c r="D64" s="12"/>
      <c r="E64" s="12"/>
    </row>
    <row r="65" spans="1:5" x14ac:dyDescent="0.25">
      <c r="A65" s="11"/>
      <c r="B65" s="11"/>
      <c r="C65" s="13"/>
      <c r="D65" s="12"/>
      <c r="E65" s="12"/>
    </row>
    <row r="66" spans="1:5" x14ac:dyDescent="0.25">
      <c r="A66" s="11"/>
      <c r="B66" s="11"/>
      <c r="C66" s="13"/>
      <c r="D66" s="12"/>
      <c r="E66" s="12"/>
    </row>
    <row r="67" spans="1:5" x14ac:dyDescent="0.25">
      <c r="A67" s="11"/>
      <c r="B67" s="11"/>
      <c r="C67" s="13"/>
      <c r="D67" s="12"/>
      <c r="E67" s="12"/>
    </row>
    <row r="68" spans="1:5" x14ac:dyDescent="0.25">
      <c r="A68" s="11"/>
      <c r="B68" s="11"/>
      <c r="C68" s="13"/>
      <c r="D68" s="12"/>
      <c r="E68" s="12"/>
    </row>
    <row r="69" spans="1:5" x14ac:dyDescent="0.25">
      <c r="A69" s="11"/>
      <c r="B69" s="11"/>
      <c r="C69" s="13"/>
      <c r="D69" s="12"/>
      <c r="E69" s="12"/>
    </row>
    <row r="70" spans="1:5" x14ac:dyDescent="0.25">
      <c r="A70" s="11"/>
      <c r="B70" s="11"/>
      <c r="C70" s="13"/>
      <c r="D70" s="12"/>
      <c r="E70" s="12"/>
    </row>
    <row r="71" spans="1:5" x14ac:dyDescent="0.25">
      <c r="A71" s="11"/>
      <c r="B71" s="11"/>
      <c r="C71" s="13"/>
      <c r="D71" s="12"/>
      <c r="E71" s="12"/>
    </row>
    <row r="72" spans="1:5" x14ac:dyDescent="0.25">
      <c r="A72" s="11"/>
      <c r="B72" s="11"/>
      <c r="C72" s="13"/>
      <c r="D72" s="12"/>
      <c r="E72" s="12"/>
    </row>
    <row r="73" spans="1:5" x14ac:dyDescent="0.25">
      <c r="A73" s="11"/>
      <c r="B73" s="11"/>
      <c r="C73" s="13"/>
      <c r="D73" s="12"/>
      <c r="E73" s="12"/>
    </row>
    <row r="74" spans="1:5" x14ac:dyDescent="0.25">
      <c r="A74" s="11"/>
      <c r="B74" s="11"/>
      <c r="C74" s="13"/>
      <c r="D74" s="12"/>
      <c r="E74" s="12"/>
    </row>
    <row r="75" spans="1:5" x14ac:dyDescent="0.25">
      <c r="A75" s="11"/>
      <c r="B75" s="11"/>
      <c r="C75" s="13"/>
      <c r="D75" s="12"/>
      <c r="E75" s="12"/>
    </row>
    <row r="76" spans="1:5" x14ac:dyDescent="0.25">
      <c r="A76" s="11"/>
      <c r="B76" s="11"/>
      <c r="C76" s="13"/>
      <c r="D76" s="12"/>
      <c r="E76" s="12"/>
    </row>
    <row r="77" spans="1:5" x14ac:dyDescent="0.25">
      <c r="A77" s="11"/>
      <c r="B77" s="11"/>
      <c r="C77" s="13"/>
      <c r="D77" s="12"/>
      <c r="E77" s="12"/>
    </row>
    <row r="78" spans="1:5" x14ac:dyDescent="0.25">
      <c r="A78" s="11"/>
      <c r="B78" s="11"/>
      <c r="C78" s="13"/>
      <c r="D78" s="12"/>
      <c r="E78" s="12"/>
    </row>
    <row r="79" spans="1:5" x14ac:dyDescent="0.25">
      <c r="A79" s="11"/>
      <c r="B79" s="11"/>
      <c r="C79" s="13"/>
      <c r="D79" s="12"/>
      <c r="E79" s="12"/>
    </row>
    <row r="80" spans="1:5" x14ac:dyDescent="0.25">
      <c r="A80" s="11"/>
      <c r="B80" s="11"/>
      <c r="C80" s="13"/>
      <c r="D80" s="12"/>
      <c r="E80" s="12"/>
    </row>
    <row r="81" spans="1:5" x14ac:dyDescent="0.25">
      <c r="A81" s="11"/>
      <c r="B81" s="11"/>
      <c r="C81" s="13"/>
      <c r="D81" s="12"/>
      <c r="E81" s="12"/>
    </row>
    <row r="82" spans="1:5" x14ac:dyDescent="0.25">
      <c r="A82" s="11"/>
      <c r="B82" s="11"/>
      <c r="C82" s="13"/>
      <c r="D82" s="12"/>
      <c r="E82" s="12"/>
    </row>
    <row r="83" spans="1:5" x14ac:dyDescent="0.25">
      <c r="A83" s="11"/>
      <c r="B83" s="11"/>
      <c r="C83" s="13"/>
      <c r="D83" s="12"/>
      <c r="E83" s="12"/>
    </row>
    <row r="84" spans="1:5" x14ac:dyDescent="0.25">
      <c r="A84" s="11"/>
      <c r="B84" s="11"/>
      <c r="C84" s="13"/>
      <c r="D84" s="12"/>
      <c r="E84" s="1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B0C8-2A93-4BA1-B8DA-A78D0B7D77C4}">
  <dimension ref="A1:P28"/>
  <sheetViews>
    <sheetView workbookViewId="0">
      <selection activeCell="K32" sqref="K32"/>
    </sheetView>
  </sheetViews>
  <sheetFormatPr baseColWidth="10" defaultRowHeight="15" x14ac:dyDescent="0.25"/>
  <cols>
    <col min="1" max="1" width="41" customWidth="1"/>
    <col min="2" max="2" width="22.85546875" customWidth="1"/>
    <col min="3" max="3" width="32.7109375" bestFit="1" customWidth="1"/>
    <col min="6" max="6" width="15.7109375" customWidth="1"/>
    <col min="8" max="8" width="20.5703125" customWidth="1"/>
    <col min="9" max="9" width="19.7109375" customWidth="1"/>
    <col min="11" max="11" width="21.7109375" customWidth="1"/>
    <col min="13" max="13" width="25.85546875" customWidth="1"/>
    <col min="14" max="14" width="18.85546875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88</v>
      </c>
      <c r="H1" s="1" t="s">
        <v>1</v>
      </c>
      <c r="I1" s="1" t="s">
        <v>2</v>
      </c>
      <c r="K1" t="s">
        <v>32</v>
      </c>
      <c r="L1" t="s">
        <v>12</v>
      </c>
      <c r="M1" t="s">
        <v>92</v>
      </c>
      <c r="N1" t="s">
        <v>89</v>
      </c>
      <c r="O1" t="s">
        <v>90</v>
      </c>
      <c r="P1" t="s">
        <v>91</v>
      </c>
    </row>
    <row r="2" spans="1:16" x14ac:dyDescent="0.25">
      <c r="A2" s="2" t="s">
        <v>10</v>
      </c>
      <c r="B2" s="20">
        <f>SUM(B3:B19)</f>
        <v>377663</v>
      </c>
      <c r="C2" s="8">
        <f>SUM(C3:C19)</f>
        <v>1066294</v>
      </c>
      <c r="D2" s="6"/>
      <c r="E2" s="6"/>
      <c r="F2" s="9">
        <f>SUM(F3:F19)</f>
        <v>1443957</v>
      </c>
      <c r="G2" s="6"/>
      <c r="H2" s="6">
        <f>B2/F2*100</f>
        <v>26.154726214146269</v>
      </c>
      <c r="I2" s="6">
        <f>C2/F2*100</f>
        <v>73.845273785853735</v>
      </c>
      <c r="J2" s="7"/>
      <c r="K2">
        <v>913</v>
      </c>
      <c r="L2" s="7">
        <v>2.2000000000000002</v>
      </c>
      <c r="M2" s="2" t="s">
        <v>10</v>
      </c>
      <c r="N2">
        <v>40260</v>
      </c>
      <c r="O2">
        <f>SUM(O3:O19)</f>
        <v>9477</v>
      </c>
      <c r="P2">
        <f>N2-O2</f>
        <v>30783</v>
      </c>
    </row>
    <row r="3" spans="1:16" x14ac:dyDescent="0.25">
      <c r="A3" t="s">
        <v>4</v>
      </c>
      <c r="B3" s="19">
        <f>1876*40</f>
        <v>75040</v>
      </c>
      <c r="C3" s="10">
        <f>F3-B3</f>
        <v>225015</v>
      </c>
      <c r="D3" s="10"/>
      <c r="E3" s="10">
        <v>40</v>
      </c>
      <c r="F3" s="10">
        <v>300055</v>
      </c>
      <c r="G3" s="7"/>
      <c r="H3" s="7">
        <f t="shared" ref="H3:H19" si="0">B3/F3*100</f>
        <v>25.008748396127377</v>
      </c>
      <c r="I3" s="7">
        <f t="shared" ref="I3:I19" si="1">C3/F3*100</f>
        <v>74.991251603872627</v>
      </c>
      <c r="J3" s="7"/>
      <c r="K3" s="7"/>
      <c r="L3" s="7"/>
      <c r="M3" t="s">
        <v>4</v>
      </c>
      <c r="O3">
        <v>1876</v>
      </c>
    </row>
    <row r="4" spans="1:16" x14ac:dyDescent="0.25">
      <c r="A4" t="s">
        <v>16</v>
      </c>
      <c r="B4" s="10">
        <f>40*2927</f>
        <v>117080</v>
      </c>
      <c r="C4" s="10">
        <f t="shared" ref="C4:C19" si="2">F4-B4</f>
        <v>200294</v>
      </c>
      <c r="D4" s="10"/>
      <c r="E4" s="10">
        <v>40</v>
      </c>
      <c r="F4" s="7">
        <v>317374</v>
      </c>
      <c r="G4" s="7"/>
      <c r="H4" s="7">
        <f t="shared" si="0"/>
        <v>36.890230453660351</v>
      </c>
      <c r="I4" s="7">
        <f t="shared" si="1"/>
        <v>63.109769546339642</v>
      </c>
      <c r="J4" s="7"/>
      <c r="K4" s="7"/>
      <c r="L4" s="7"/>
      <c r="M4" t="s">
        <v>16</v>
      </c>
      <c r="O4">
        <v>2927</v>
      </c>
    </row>
    <row r="5" spans="1:16" x14ac:dyDescent="0.25">
      <c r="A5" t="s">
        <v>5</v>
      </c>
      <c r="B5" s="10">
        <f>40*872</f>
        <v>34880</v>
      </c>
      <c r="C5" s="10">
        <f t="shared" si="2"/>
        <v>90631</v>
      </c>
      <c r="D5" s="10"/>
      <c r="E5" s="10">
        <v>40</v>
      </c>
      <c r="F5" s="7">
        <v>125511</v>
      </c>
      <c r="G5" s="7"/>
      <c r="H5" s="7">
        <f t="shared" si="0"/>
        <v>27.790392873931367</v>
      </c>
      <c r="I5" s="7">
        <f t="shared" si="1"/>
        <v>72.209607126068633</v>
      </c>
      <c r="J5" s="7"/>
      <c r="K5" s="7"/>
      <c r="L5" s="7"/>
      <c r="M5" t="s">
        <v>5</v>
      </c>
      <c r="O5">
        <v>872</v>
      </c>
    </row>
    <row r="6" spans="1:16" x14ac:dyDescent="0.25">
      <c r="A6" t="s">
        <v>6</v>
      </c>
      <c r="B6" s="10">
        <f>40*522</f>
        <v>20880</v>
      </c>
      <c r="C6" s="10">
        <f t="shared" si="2"/>
        <v>84548</v>
      </c>
      <c r="D6" s="10"/>
      <c r="E6" s="10">
        <v>40</v>
      </c>
      <c r="F6" s="7">
        <v>105428</v>
      </c>
      <c r="G6" s="7"/>
      <c r="H6" s="7">
        <f t="shared" si="0"/>
        <v>19.804985392874759</v>
      </c>
      <c r="I6" s="7">
        <f t="shared" si="1"/>
        <v>80.195014607125231</v>
      </c>
      <c r="J6" s="7"/>
      <c r="K6" s="7"/>
      <c r="L6" s="7"/>
      <c r="M6" t="s">
        <v>6</v>
      </c>
      <c r="O6">
        <v>522</v>
      </c>
    </row>
    <row r="7" spans="1:16" x14ac:dyDescent="0.25">
      <c r="A7" t="s">
        <v>63</v>
      </c>
      <c r="B7" s="10">
        <f>40*358</f>
        <v>14320</v>
      </c>
      <c r="C7" s="10">
        <f t="shared" si="2"/>
        <v>56941</v>
      </c>
      <c r="D7" s="10"/>
      <c r="E7" s="10">
        <v>40</v>
      </c>
      <c r="F7" s="7">
        <v>71261</v>
      </c>
      <c r="G7" s="7"/>
      <c r="H7" s="7">
        <f t="shared" si="0"/>
        <v>20.095143205961186</v>
      </c>
      <c r="I7" s="7">
        <f t="shared" si="1"/>
        <v>79.904856794038821</v>
      </c>
      <c r="J7" s="7"/>
      <c r="K7" s="7"/>
      <c r="L7" s="7"/>
      <c r="M7" t="s">
        <v>63</v>
      </c>
      <c r="O7">
        <v>358</v>
      </c>
    </row>
    <row r="8" spans="1:16" x14ac:dyDescent="0.25">
      <c r="A8" t="s">
        <v>64</v>
      </c>
      <c r="B8" s="10">
        <f>40*711</f>
        <v>28440</v>
      </c>
      <c r="C8" s="10">
        <f t="shared" si="2"/>
        <v>58072</v>
      </c>
      <c r="D8" s="10"/>
      <c r="E8" s="10">
        <v>40</v>
      </c>
      <c r="F8" s="7">
        <v>86512</v>
      </c>
      <c r="G8" s="7"/>
      <c r="H8" s="7">
        <f t="shared" si="0"/>
        <v>32.87405215461439</v>
      </c>
      <c r="I8" s="7">
        <f t="shared" si="1"/>
        <v>67.12594784538561</v>
      </c>
      <c r="J8" s="7"/>
      <c r="K8" s="7"/>
      <c r="L8" s="7"/>
      <c r="M8" t="s">
        <v>64</v>
      </c>
      <c r="O8">
        <v>711</v>
      </c>
    </row>
    <row r="9" spans="1:16" x14ac:dyDescent="0.25">
      <c r="A9" t="s">
        <v>8</v>
      </c>
      <c r="B9" s="10">
        <f>40*170</f>
        <v>6800</v>
      </c>
      <c r="C9" s="10">
        <f t="shared" si="2"/>
        <v>30977</v>
      </c>
      <c r="D9" s="10"/>
      <c r="E9" s="10">
        <v>40</v>
      </c>
      <c r="F9" s="7">
        <v>37777</v>
      </c>
      <c r="G9" s="7"/>
      <c r="H9" s="7">
        <f t="shared" si="0"/>
        <v>18.00037059586521</v>
      </c>
      <c r="I9" s="7">
        <f t="shared" si="1"/>
        <v>81.999629404134794</v>
      </c>
      <c r="J9" s="7"/>
      <c r="K9" s="7"/>
      <c r="L9" s="7"/>
      <c r="M9" t="s">
        <v>8</v>
      </c>
      <c r="O9">
        <v>170</v>
      </c>
    </row>
    <row r="10" spans="1:16" x14ac:dyDescent="0.25">
      <c r="A10" t="s">
        <v>65</v>
      </c>
      <c r="B10" s="10">
        <f>40*201</f>
        <v>8040</v>
      </c>
      <c r="C10" s="10">
        <f t="shared" si="2"/>
        <v>40959</v>
      </c>
      <c r="D10" s="10"/>
      <c r="E10" s="10">
        <v>40</v>
      </c>
      <c r="F10" s="7">
        <v>48999</v>
      </c>
      <c r="G10" s="7"/>
      <c r="H10" s="7">
        <f t="shared" si="0"/>
        <v>16.408498132614952</v>
      </c>
      <c r="I10" s="7">
        <f t="shared" si="1"/>
        <v>83.591501867385048</v>
      </c>
      <c r="J10" s="7"/>
      <c r="K10" s="7"/>
      <c r="L10" s="7"/>
      <c r="M10" t="s">
        <v>65</v>
      </c>
      <c r="O10">
        <v>201</v>
      </c>
    </row>
    <row r="11" spans="1:16" x14ac:dyDescent="0.25">
      <c r="A11" t="s">
        <v>7</v>
      </c>
      <c r="B11" s="10">
        <f>40*328</f>
        <v>13120</v>
      </c>
      <c r="C11" s="10">
        <f t="shared" si="2"/>
        <v>23540</v>
      </c>
      <c r="D11" s="10"/>
      <c r="E11" s="10">
        <v>40</v>
      </c>
      <c r="F11" s="7">
        <v>36660</v>
      </c>
      <c r="G11" s="7"/>
      <c r="H11" s="7">
        <f t="shared" si="0"/>
        <v>35.788325150027276</v>
      </c>
      <c r="I11" s="7">
        <f t="shared" si="1"/>
        <v>64.211674849972724</v>
      </c>
      <c r="J11" s="7"/>
      <c r="K11" s="7"/>
      <c r="L11" s="7"/>
      <c r="M11" t="s">
        <v>7</v>
      </c>
      <c r="O11">
        <v>328</v>
      </c>
    </row>
    <row r="12" spans="1:16" x14ac:dyDescent="0.25">
      <c r="A12" t="s">
        <v>66</v>
      </c>
      <c r="B12" s="10">
        <f>40*215</f>
        <v>8600</v>
      </c>
      <c r="C12" s="10">
        <f t="shared" si="2"/>
        <v>30584</v>
      </c>
      <c r="D12" s="10"/>
      <c r="E12" s="10">
        <v>40</v>
      </c>
      <c r="F12" s="7">
        <v>39184</v>
      </c>
      <c r="G12" s="7"/>
      <c r="H12" s="7">
        <f t="shared" si="0"/>
        <v>21.947733768885257</v>
      </c>
      <c r="I12" s="7">
        <f t="shared" si="1"/>
        <v>78.052266231114743</v>
      </c>
      <c r="J12" s="7"/>
      <c r="K12" s="7"/>
      <c r="L12" s="7"/>
      <c r="M12" t="s">
        <v>66</v>
      </c>
      <c r="O12">
        <v>215</v>
      </c>
    </row>
    <row r="13" spans="1:16" x14ac:dyDescent="0.25">
      <c r="A13" t="s">
        <v>67</v>
      </c>
      <c r="B13" s="10">
        <f>40*181</f>
        <v>7240</v>
      </c>
      <c r="C13" s="10">
        <f t="shared" si="2"/>
        <v>21313</v>
      </c>
      <c r="D13" s="10"/>
      <c r="E13" s="10">
        <v>40</v>
      </c>
      <c r="F13" s="10">
        <v>28553</v>
      </c>
      <c r="G13" s="7"/>
      <c r="H13" s="7">
        <f t="shared" si="0"/>
        <v>25.356354848877526</v>
      </c>
      <c r="I13" s="7">
        <f t="shared" si="1"/>
        <v>74.64364515112247</v>
      </c>
      <c r="J13" s="7"/>
      <c r="K13" s="7"/>
      <c r="L13" s="7"/>
      <c r="M13" t="s">
        <v>67</v>
      </c>
      <c r="O13">
        <v>181</v>
      </c>
    </row>
    <row r="14" spans="1:16" x14ac:dyDescent="0.25">
      <c r="A14" t="s">
        <v>68</v>
      </c>
      <c r="B14" s="10">
        <f>40*264</f>
        <v>10560</v>
      </c>
      <c r="C14" s="10">
        <f t="shared" si="2"/>
        <v>40336</v>
      </c>
      <c r="D14" s="10"/>
      <c r="E14" s="10">
        <v>40</v>
      </c>
      <c r="F14" s="10">
        <v>50896</v>
      </c>
      <c r="G14" s="7"/>
      <c r="H14" s="7">
        <f t="shared" si="0"/>
        <v>20.748192392329457</v>
      </c>
      <c r="I14" s="7">
        <f t="shared" si="1"/>
        <v>79.251807607670543</v>
      </c>
      <c r="J14" s="7"/>
      <c r="K14" s="7"/>
      <c r="L14" s="7"/>
      <c r="M14" t="s">
        <v>68</v>
      </c>
      <c r="O14">
        <v>264</v>
      </c>
    </row>
    <row r="15" spans="1:16" x14ac:dyDescent="0.25">
      <c r="A15" t="s">
        <v>69</v>
      </c>
      <c r="B15" s="10">
        <f>39*105</f>
        <v>4095</v>
      </c>
      <c r="C15" s="10">
        <f t="shared" si="2"/>
        <v>22498</v>
      </c>
      <c r="D15" s="10"/>
      <c r="E15" s="10">
        <v>39</v>
      </c>
      <c r="F15" s="10">
        <v>26593</v>
      </c>
      <c r="G15" s="7"/>
      <c r="H15" s="7">
        <f t="shared" si="0"/>
        <v>15.3987891550408</v>
      </c>
      <c r="I15" s="7">
        <f t="shared" si="1"/>
        <v>84.601210844959198</v>
      </c>
      <c r="J15" s="7"/>
      <c r="K15" s="7"/>
      <c r="L15" s="7"/>
      <c r="M15" t="s">
        <v>69</v>
      </c>
      <c r="O15">
        <v>105</v>
      </c>
    </row>
    <row r="16" spans="1:16" x14ac:dyDescent="0.25">
      <c r="A16" t="s">
        <v>70</v>
      </c>
      <c r="B16" s="10">
        <f>40*102</f>
        <v>4080</v>
      </c>
      <c r="C16" s="10">
        <f t="shared" si="2"/>
        <v>25084</v>
      </c>
      <c r="D16" s="10"/>
      <c r="E16" s="10">
        <v>40</v>
      </c>
      <c r="F16" s="10">
        <v>29164</v>
      </c>
      <c r="G16" s="7"/>
      <c r="H16" s="7">
        <f t="shared" si="0"/>
        <v>13.989850500617198</v>
      </c>
      <c r="I16" s="7">
        <f t="shared" si="1"/>
        <v>86.010149499382806</v>
      </c>
      <c r="J16" s="7"/>
      <c r="K16" s="7"/>
      <c r="L16" s="7"/>
      <c r="M16" t="s">
        <v>70</v>
      </c>
      <c r="O16">
        <v>102</v>
      </c>
    </row>
    <row r="17" spans="1:15" x14ac:dyDescent="0.25">
      <c r="A17" t="s">
        <v>71</v>
      </c>
      <c r="B17" s="10">
        <f>30*72</f>
        <v>2160</v>
      </c>
      <c r="C17" s="10">
        <f t="shared" si="2"/>
        <v>25488</v>
      </c>
      <c r="D17" s="10"/>
      <c r="E17" s="10">
        <v>30</v>
      </c>
      <c r="F17" s="10">
        <v>27648</v>
      </c>
      <c r="G17" s="7"/>
      <c r="H17" s="7">
        <f t="shared" si="0"/>
        <v>7.8125</v>
      </c>
      <c r="I17" s="7">
        <f t="shared" si="1"/>
        <v>92.1875</v>
      </c>
      <c r="J17" s="7"/>
      <c r="K17" s="7"/>
      <c r="L17" s="7"/>
      <c r="M17" t="s">
        <v>71</v>
      </c>
      <c r="O17">
        <v>72</v>
      </c>
    </row>
    <row r="18" spans="1:15" x14ac:dyDescent="0.25">
      <c r="A18" t="s">
        <v>72</v>
      </c>
      <c r="B18" s="10">
        <f>40*499</f>
        <v>19960</v>
      </c>
      <c r="C18" s="10">
        <f t="shared" si="2"/>
        <v>66477</v>
      </c>
      <c r="D18" s="10"/>
      <c r="E18" s="10">
        <v>40</v>
      </c>
      <c r="F18" s="10">
        <v>86437</v>
      </c>
      <c r="G18" s="7"/>
      <c r="H18" s="7">
        <f t="shared" si="0"/>
        <v>23.091962932540465</v>
      </c>
      <c r="I18" s="7">
        <f t="shared" si="1"/>
        <v>76.908037067459531</v>
      </c>
      <c r="J18" s="7"/>
      <c r="K18" s="7"/>
      <c r="L18" s="7"/>
      <c r="M18" t="s">
        <v>72</v>
      </c>
      <c r="O18">
        <v>499</v>
      </c>
    </row>
    <row r="19" spans="1:15" x14ac:dyDescent="0.25">
      <c r="A19" t="s">
        <v>73</v>
      </c>
      <c r="B19" s="10">
        <f>32*74</f>
        <v>2368</v>
      </c>
      <c r="C19" s="10">
        <f t="shared" si="2"/>
        <v>23537</v>
      </c>
      <c r="D19" s="10"/>
      <c r="E19" s="10">
        <v>32</v>
      </c>
      <c r="F19" s="10">
        <v>25905</v>
      </c>
      <c r="G19" s="7"/>
      <c r="H19" s="7">
        <f t="shared" si="0"/>
        <v>9.1410924531943643</v>
      </c>
      <c r="I19" s="7">
        <f t="shared" si="1"/>
        <v>90.858907546805639</v>
      </c>
      <c r="J19" s="7"/>
      <c r="K19" s="7"/>
      <c r="L19" s="7"/>
      <c r="M19" t="s">
        <v>73</v>
      </c>
      <c r="O19">
        <v>74</v>
      </c>
    </row>
    <row r="20" spans="1:15" x14ac:dyDescent="0.25">
      <c r="G20" s="7"/>
      <c r="H20" s="7"/>
      <c r="I20" s="7"/>
      <c r="J20" s="7"/>
      <c r="K20" s="7"/>
      <c r="L20" s="7"/>
    </row>
    <row r="21" spans="1:15" x14ac:dyDescent="0.25">
      <c r="B21" s="7"/>
      <c r="C21" s="7"/>
      <c r="D21" s="7"/>
      <c r="E21" s="7"/>
      <c r="G21" s="7"/>
      <c r="H21" s="7"/>
      <c r="I21" s="7"/>
      <c r="J21" s="7"/>
      <c r="K21" s="7"/>
      <c r="L21" s="7"/>
    </row>
    <row r="22" spans="1:15" x14ac:dyDescent="0.25">
      <c r="B22" s="7"/>
      <c r="C22" s="7"/>
      <c r="D22" s="7"/>
      <c r="E22" s="7"/>
      <c r="G22" s="7"/>
      <c r="H22" s="7"/>
      <c r="I22" s="7"/>
      <c r="J22" s="7"/>
      <c r="K22" s="7"/>
      <c r="L22" s="7"/>
    </row>
    <row r="23" spans="1:15" x14ac:dyDescent="0.25">
      <c r="B23" s="7"/>
      <c r="C23" s="7"/>
      <c r="D23" s="7"/>
      <c r="E23" s="7"/>
      <c r="G23" s="7"/>
      <c r="H23" s="7"/>
      <c r="I23" s="7"/>
      <c r="J23" s="7"/>
      <c r="K23" s="7"/>
      <c r="L23" s="7"/>
    </row>
    <row r="24" spans="1:15" x14ac:dyDescent="0.25">
      <c r="B24" s="7"/>
      <c r="C24" s="7"/>
      <c r="D24" s="7"/>
      <c r="E24" s="7"/>
      <c r="G24" s="7"/>
      <c r="H24" s="7"/>
      <c r="I24" s="7"/>
      <c r="J24" s="7"/>
      <c r="K24" s="7"/>
      <c r="L24" s="7"/>
    </row>
    <row r="25" spans="1:15" x14ac:dyDescent="0.25">
      <c r="B25" s="7"/>
      <c r="C25" s="7"/>
      <c r="D25" s="7"/>
      <c r="E25" s="7"/>
      <c r="G25" s="7"/>
      <c r="H25" s="7"/>
      <c r="I25" s="7"/>
      <c r="J25" s="7"/>
      <c r="K25" s="7"/>
      <c r="L25" s="7"/>
    </row>
    <row r="26" spans="1:15" x14ac:dyDescent="0.25">
      <c r="B26" s="7"/>
      <c r="C26" s="7"/>
      <c r="D26" s="7"/>
      <c r="E26" s="7"/>
      <c r="G26" s="7"/>
      <c r="H26" s="7"/>
      <c r="I26" s="7"/>
      <c r="J26" s="7"/>
      <c r="K26" s="7"/>
      <c r="L26" s="7"/>
    </row>
    <row r="27" spans="1:15" x14ac:dyDescent="0.25">
      <c r="B27" s="7"/>
      <c r="C27" s="7"/>
      <c r="D27" s="7"/>
      <c r="E27" s="7"/>
      <c r="G27" s="7"/>
      <c r="H27" s="7"/>
      <c r="I27" s="7"/>
      <c r="J27" s="7"/>
      <c r="K27" s="7"/>
      <c r="L27" s="7"/>
    </row>
    <row r="28" spans="1:15" x14ac:dyDescent="0.25">
      <c r="B28" s="7"/>
      <c r="C28" s="7"/>
      <c r="D28" s="7"/>
      <c r="E28" s="7"/>
      <c r="G28" s="7"/>
      <c r="H28" s="7"/>
      <c r="I28" s="7"/>
      <c r="J28" s="7"/>
      <c r="K28" s="7"/>
      <c r="L28" s="7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9D3-BBEB-4D3C-88D0-62515430B73E}">
  <dimension ref="A1:U110"/>
  <sheetViews>
    <sheetView tabSelected="1" zoomScale="115" zoomScaleNormal="115" workbookViewId="0">
      <selection activeCell="G51" sqref="G51"/>
    </sheetView>
  </sheetViews>
  <sheetFormatPr baseColWidth="10" defaultRowHeight="15" x14ac:dyDescent="0.25"/>
  <cols>
    <col min="1" max="1" width="44" customWidth="1"/>
    <col min="2" max="3" width="22.28515625" customWidth="1"/>
    <col min="4" max="4" width="13.140625" bestFit="1" customWidth="1"/>
    <col min="5" max="5" width="8" bestFit="1" customWidth="1"/>
    <col min="6" max="6" width="16.140625" customWidth="1"/>
    <col min="8" max="9" width="23.42578125" customWidth="1"/>
    <col min="10" max="10" width="12.85546875" customWidth="1"/>
    <col min="14" max="14" width="18.85546875" customWidth="1"/>
    <col min="15" max="15" width="26" customWidth="1"/>
    <col min="16" max="16" width="22" customWidth="1"/>
    <col min="17" max="17" width="22.7109375" customWidth="1"/>
    <col min="20" max="20" width="27.5703125" customWidth="1"/>
  </cols>
  <sheetData>
    <row r="1" spans="1:21" ht="15.75" thickBot="1" x14ac:dyDescent="0.3">
      <c r="A1" s="1" t="s">
        <v>0</v>
      </c>
      <c r="B1" s="1" t="s">
        <v>1</v>
      </c>
      <c r="C1" s="1" t="s">
        <v>2</v>
      </c>
      <c r="D1" s="4"/>
      <c r="E1" s="4" t="s">
        <v>11</v>
      </c>
      <c r="F1" s="4" t="s">
        <v>31</v>
      </c>
      <c r="G1" s="4" t="s">
        <v>30</v>
      </c>
      <c r="H1" s="1" t="s">
        <v>1</v>
      </c>
      <c r="I1" s="1" t="s">
        <v>2</v>
      </c>
      <c r="K1" t="s">
        <v>32</v>
      </c>
      <c r="L1" t="s">
        <v>12</v>
      </c>
      <c r="N1" t="s">
        <v>83</v>
      </c>
      <c r="O1" t="s">
        <v>86</v>
      </c>
      <c r="P1" t="s">
        <v>82</v>
      </c>
      <c r="Q1" t="s">
        <v>84</v>
      </c>
      <c r="T1" s="31" t="s">
        <v>85</v>
      </c>
      <c r="U1" t="s">
        <v>87</v>
      </c>
    </row>
    <row r="2" spans="1:21" x14ac:dyDescent="0.25">
      <c r="A2" s="2" t="s">
        <v>10</v>
      </c>
      <c r="B2" s="8">
        <f>SUM(B3:B20)</f>
        <v>5853926</v>
      </c>
      <c r="C2" s="8">
        <f>F2-B2</f>
        <v>7718681</v>
      </c>
      <c r="D2" s="3"/>
      <c r="F2" s="10">
        <v>13572607</v>
      </c>
      <c r="H2" s="14">
        <f>B2/F2*100</f>
        <v>43.130446494177576</v>
      </c>
      <c r="I2" s="14">
        <f>C2/F2*100</f>
        <v>56.869553505822424</v>
      </c>
      <c r="K2">
        <v>5620</v>
      </c>
      <c r="L2">
        <v>2.2000000000000002</v>
      </c>
      <c r="N2" s="10">
        <f>SUM(N3:N20)</f>
        <v>98365</v>
      </c>
      <c r="O2" s="10">
        <f>SUM(O3:O20)</f>
        <v>146406</v>
      </c>
      <c r="P2" s="10">
        <f>SUM(P3:P20)</f>
        <v>3063052</v>
      </c>
      <c r="Q2" s="10">
        <f>F2-P2-B2</f>
        <v>4655629</v>
      </c>
      <c r="T2" s="31"/>
    </row>
    <row r="3" spans="1:21" x14ac:dyDescent="0.25">
      <c r="A3" t="s">
        <v>46</v>
      </c>
      <c r="B3" s="10">
        <f>E3*N3</f>
        <v>1553040</v>
      </c>
      <c r="C3" s="10">
        <f>F3-B3</f>
        <v>1555089</v>
      </c>
      <c r="E3">
        <v>60</v>
      </c>
      <c r="F3" s="10">
        <v>3108129</v>
      </c>
      <c r="H3" s="14">
        <f>B3/F3*100</f>
        <v>49.9670380476486</v>
      </c>
      <c r="I3" s="14">
        <f t="shared" ref="I3:I20" si="0">C3/F3*100</f>
        <v>50.032961952351393</v>
      </c>
      <c r="N3" s="10">
        <v>25884</v>
      </c>
      <c r="O3" s="10">
        <v>16905</v>
      </c>
      <c r="P3" s="10">
        <v>456352</v>
      </c>
      <c r="Q3" s="10">
        <f>F3-P3-B3</f>
        <v>1098737</v>
      </c>
      <c r="S3" s="24">
        <f t="shared" ref="S3:S19" si="1">T3-Q3</f>
        <v>-84437</v>
      </c>
      <c r="T3" s="10">
        <f>O3*60</f>
        <v>1014300</v>
      </c>
      <c r="U3" s="10"/>
    </row>
    <row r="4" spans="1:21" x14ac:dyDescent="0.25">
      <c r="A4" t="s">
        <v>4</v>
      </c>
      <c r="B4" s="10">
        <f>E4*N4</f>
        <v>1659360</v>
      </c>
      <c r="C4" s="10">
        <f t="shared" ref="C4:C20" si="2">F4-B4</f>
        <v>1512469</v>
      </c>
      <c r="E4">
        <v>60</v>
      </c>
      <c r="F4" s="10">
        <v>3171829</v>
      </c>
      <c r="H4" s="14">
        <f t="shared" ref="H4:H20" si="3">B4/F4*100</f>
        <v>52.315556733985346</v>
      </c>
      <c r="I4" s="14">
        <f t="shared" si="0"/>
        <v>47.684443266014654</v>
      </c>
      <c r="N4" s="10">
        <v>27656</v>
      </c>
      <c r="O4" s="10">
        <v>22014</v>
      </c>
      <c r="P4" s="10">
        <v>370060</v>
      </c>
      <c r="Q4" s="10">
        <f>F4-P4-B4</f>
        <v>1142409</v>
      </c>
      <c r="S4" s="10">
        <f t="shared" si="1"/>
        <v>178431</v>
      </c>
      <c r="T4" s="10">
        <f t="shared" ref="T4:T20" si="4">O4*60</f>
        <v>1320840</v>
      </c>
    </row>
    <row r="5" spans="1:21" x14ac:dyDescent="0.25">
      <c r="A5" t="s">
        <v>5</v>
      </c>
      <c r="B5" s="10">
        <f t="shared" ref="B5:B20" si="5">E5*N5</f>
        <v>661020</v>
      </c>
      <c r="C5" s="10">
        <f>F5-B5</f>
        <v>849228</v>
      </c>
      <c r="E5">
        <v>60</v>
      </c>
      <c r="F5" s="10">
        <v>1510248</v>
      </c>
      <c r="H5" s="14">
        <f t="shared" si="3"/>
        <v>43.768970394266368</v>
      </c>
      <c r="I5" s="14">
        <f t="shared" si="0"/>
        <v>56.231029605733632</v>
      </c>
      <c r="N5" s="10">
        <v>11017</v>
      </c>
      <c r="O5" s="10">
        <v>17978</v>
      </c>
      <c r="P5" s="10">
        <v>439671</v>
      </c>
      <c r="Q5" s="10">
        <f t="shared" ref="Q5:Q20" si="6">F5-P5-B5</f>
        <v>409557</v>
      </c>
      <c r="S5" s="10">
        <f t="shared" si="1"/>
        <v>669123</v>
      </c>
      <c r="T5" s="10">
        <f t="shared" si="4"/>
        <v>1078680</v>
      </c>
    </row>
    <row r="6" spans="1:21" x14ac:dyDescent="0.25">
      <c r="A6" t="s">
        <v>74</v>
      </c>
      <c r="B6" s="10">
        <f t="shared" si="5"/>
        <v>413460</v>
      </c>
      <c r="C6" s="10">
        <f t="shared" si="2"/>
        <v>588377</v>
      </c>
      <c r="E6">
        <v>60</v>
      </c>
      <c r="F6" s="10">
        <v>1001837</v>
      </c>
      <c r="H6" s="14">
        <f t="shared" si="3"/>
        <v>41.270186667092553</v>
      </c>
      <c r="I6" s="14">
        <f t="shared" si="0"/>
        <v>58.729813332907455</v>
      </c>
      <c r="N6" s="10">
        <v>6891</v>
      </c>
      <c r="O6" s="10">
        <v>14442</v>
      </c>
      <c r="P6" s="10">
        <v>319439</v>
      </c>
      <c r="Q6" s="10">
        <f t="shared" si="6"/>
        <v>268938</v>
      </c>
      <c r="S6" s="10">
        <f t="shared" si="1"/>
        <v>597582</v>
      </c>
      <c r="T6" s="10">
        <f t="shared" si="4"/>
        <v>866520</v>
      </c>
    </row>
    <row r="7" spans="1:21" x14ac:dyDescent="0.25">
      <c r="A7" t="s">
        <v>75</v>
      </c>
      <c r="B7" s="10">
        <f t="shared" si="5"/>
        <v>340260</v>
      </c>
      <c r="C7" s="10">
        <f t="shared" si="2"/>
        <v>499316</v>
      </c>
      <c r="E7">
        <v>60</v>
      </c>
      <c r="F7" s="10">
        <v>839576</v>
      </c>
      <c r="H7" s="14">
        <f t="shared" si="3"/>
        <v>40.527599645535368</v>
      </c>
      <c r="I7" s="14">
        <f t="shared" si="0"/>
        <v>59.472400354464639</v>
      </c>
      <c r="N7" s="10">
        <v>5671</v>
      </c>
      <c r="O7" s="10">
        <v>11395</v>
      </c>
      <c r="P7" s="10">
        <v>269805</v>
      </c>
      <c r="Q7" s="10">
        <f>F7-P7-B7</f>
        <v>229511</v>
      </c>
      <c r="S7" s="10">
        <f t="shared" si="1"/>
        <v>454189</v>
      </c>
      <c r="T7" s="10">
        <f t="shared" si="4"/>
        <v>683700</v>
      </c>
    </row>
    <row r="8" spans="1:21" x14ac:dyDescent="0.25">
      <c r="A8" t="s">
        <v>16</v>
      </c>
      <c r="B8" s="10">
        <f t="shared" si="5"/>
        <v>437131</v>
      </c>
      <c r="C8" s="10">
        <f t="shared" si="2"/>
        <v>686704</v>
      </c>
      <c r="E8">
        <v>59</v>
      </c>
      <c r="F8" s="10">
        <v>1123835</v>
      </c>
      <c r="H8" s="14">
        <f t="shared" si="3"/>
        <v>38.896368239109833</v>
      </c>
      <c r="I8" s="14">
        <f t="shared" si="0"/>
        <v>61.103631760890167</v>
      </c>
      <c r="N8" s="10">
        <v>7409</v>
      </c>
      <c r="O8" s="10">
        <v>11536</v>
      </c>
      <c r="P8" s="10">
        <v>69360</v>
      </c>
      <c r="Q8" s="10">
        <f t="shared" si="6"/>
        <v>617344</v>
      </c>
      <c r="S8" s="10">
        <f t="shared" si="1"/>
        <v>74816</v>
      </c>
      <c r="T8" s="10">
        <f t="shared" si="4"/>
        <v>692160</v>
      </c>
    </row>
    <row r="9" spans="1:21" x14ac:dyDescent="0.25">
      <c r="A9" t="s">
        <v>48</v>
      </c>
      <c r="B9" s="10">
        <f t="shared" si="5"/>
        <v>235500</v>
      </c>
      <c r="C9" s="10">
        <f t="shared" si="2"/>
        <v>372718</v>
      </c>
      <c r="E9">
        <v>60</v>
      </c>
      <c r="F9" s="10">
        <v>608218</v>
      </c>
      <c r="H9" s="14">
        <f t="shared" si="3"/>
        <v>38.719669592152812</v>
      </c>
      <c r="I9" s="14">
        <f t="shared" si="0"/>
        <v>61.280330407847181</v>
      </c>
      <c r="N9" s="10">
        <v>3925</v>
      </c>
      <c r="O9" s="10">
        <v>7597</v>
      </c>
      <c r="P9" s="10">
        <v>185544</v>
      </c>
      <c r="Q9" s="10">
        <f t="shared" si="6"/>
        <v>187174</v>
      </c>
      <c r="S9" s="10">
        <f t="shared" si="1"/>
        <v>268646</v>
      </c>
      <c r="T9" s="10">
        <f t="shared" si="4"/>
        <v>455820</v>
      </c>
    </row>
    <row r="10" spans="1:21" x14ac:dyDescent="0.25">
      <c r="A10" t="s">
        <v>76</v>
      </c>
      <c r="B10" s="10">
        <f t="shared" si="5"/>
        <v>185580</v>
      </c>
      <c r="C10" s="10">
        <f t="shared" si="2"/>
        <v>376961</v>
      </c>
      <c r="E10">
        <v>60</v>
      </c>
      <c r="F10" s="10">
        <v>562541</v>
      </c>
      <c r="H10" s="14">
        <f t="shared" si="3"/>
        <v>32.989595425044577</v>
      </c>
      <c r="I10" s="14">
        <f t="shared" si="0"/>
        <v>67.01040457495543</v>
      </c>
      <c r="N10" s="10">
        <v>3093</v>
      </c>
      <c r="O10" s="10">
        <v>8492</v>
      </c>
      <c r="P10" s="10">
        <v>224673</v>
      </c>
      <c r="Q10" s="10">
        <f t="shared" si="6"/>
        <v>152288</v>
      </c>
      <c r="S10" s="10">
        <f t="shared" si="1"/>
        <v>357232</v>
      </c>
      <c r="T10" s="10">
        <f t="shared" si="4"/>
        <v>509520</v>
      </c>
    </row>
    <row r="11" spans="1:21" x14ac:dyDescent="0.25">
      <c r="A11" t="s">
        <v>77</v>
      </c>
      <c r="B11" s="10">
        <f t="shared" si="5"/>
        <v>75180</v>
      </c>
      <c r="C11" s="10">
        <f t="shared" si="2"/>
        <v>188803</v>
      </c>
      <c r="E11">
        <v>60</v>
      </c>
      <c r="F11" s="10">
        <v>263983</v>
      </c>
      <c r="H11" s="14">
        <f t="shared" si="3"/>
        <v>28.479106609137713</v>
      </c>
      <c r="I11" s="14">
        <f t="shared" si="0"/>
        <v>71.520893390862298</v>
      </c>
      <c r="N11" s="10">
        <v>1253</v>
      </c>
      <c r="O11" s="10">
        <v>4778</v>
      </c>
      <c r="P11" s="10">
        <v>122249</v>
      </c>
      <c r="Q11" s="10">
        <f t="shared" si="6"/>
        <v>66554</v>
      </c>
      <c r="S11" s="10">
        <f t="shared" si="1"/>
        <v>220126</v>
      </c>
      <c r="T11" s="10">
        <f t="shared" si="4"/>
        <v>286680</v>
      </c>
    </row>
    <row r="12" spans="1:21" x14ac:dyDescent="0.25">
      <c r="A12" t="s">
        <v>24</v>
      </c>
      <c r="B12" s="10">
        <f t="shared" si="5"/>
        <v>93480</v>
      </c>
      <c r="C12" s="10">
        <f t="shared" si="2"/>
        <v>120777</v>
      </c>
      <c r="E12">
        <v>60</v>
      </c>
      <c r="F12" s="10">
        <v>214257</v>
      </c>
      <c r="H12" s="14">
        <f t="shared" si="3"/>
        <v>43.629846399417524</v>
      </c>
      <c r="I12" s="14">
        <f t="shared" si="0"/>
        <v>56.370153600582476</v>
      </c>
      <c r="N12" s="10">
        <v>1558</v>
      </c>
      <c r="O12" s="10">
        <v>3409</v>
      </c>
      <c r="P12" s="10">
        <v>69459</v>
      </c>
      <c r="Q12" s="10">
        <f t="shared" si="6"/>
        <v>51318</v>
      </c>
      <c r="S12" s="10">
        <f t="shared" si="1"/>
        <v>153222</v>
      </c>
      <c r="T12" s="10">
        <f t="shared" si="4"/>
        <v>204540</v>
      </c>
    </row>
    <row r="13" spans="1:21" x14ac:dyDescent="0.25">
      <c r="A13" t="s">
        <v>42</v>
      </c>
      <c r="B13" s="10">
        <f t="shared" si="5"/>
        <v>9545</v>
      </c>
      <c r="C13" s="10">
        <f t="shared" si="2"/>
        <v>151310</v>
      </c>
      <c r="E13">
        <v>23</v>
      </c>
      <c r="F13" s="10">
        <v>160855</v>
      </c>
      <c r="H13" s="14">
        <f t="shared" si="3"/>
        <v>5.9339156383077931</v>
      </c>
      <c r="I13" s="14">
        <f t="shared" si="0"/>
        <v>94.066084361692205</v>
      </c>
      <c r="N13" s="10">
        <v>415</v>
      </c>
      <c r="O13" s="10">
        <v>4677</v>
      </c>
      <c r="P13" s="10">
        <v>78766</v>
      </c>
      <c r="Q13" s="10">
        <f t="shared" si="6"/>
        <v>72544</v>
      </c>
      <c r="S13" s="10">
        <f t="shared" si="1"/>
        <v>208076</v>
      </c>
      <c r="T13" s="10">
        <f t="shared" si="4"/>
        <v>280620</v>
      </c>
    </row>
    <row r="14" spans="1:21" x14ac:dyDescent="0.25">
      <c r="A14" t="s">
        <v>39</v>
      </c>
      <c r="B14" s="10">
        <f t="shared" si="5"/>
        <v>4560</v>
      </c>
      <c r="C14" s="10">
        <f t="shared" si="2"/>
        <v>88501</v>
      </c>
      <c r="E14">
        <v>20</v>
      </c>
      <c r="F14" s="10">
        <v>93061</v>
      </c>
      <c r="H14" s="14">
        <f t="shared" si="3"/>
        <v>4.900011820203952</v>
      </c>
      <c r="I14" s="14">
        <f t="shared" si="0"/>
        <v>95.099988179796043</v>
      </c>
      <c r="N14" s="10">
        <v>228</v>
      </c>
      <c r="O14" s="10">
        <v>2933</v>
      </c>
      <c r="P14" s="10">
        <v>47949</v>
      </c>
      <c r="Q14" s="10">
        <f t="shared" si="6"/>
        <v>40552</v>
      </c>
      <c r="S14" s="10">
        <f t="shared" si="1"/>
        <v>135428</v>
      </c>
      <c r="T14" s="10">
        <f t="shared" si="4"/>
        <v>175980</v>
      </c>
    </row>
    <row r="15" spans="1:21" x14ac:dyDescent="0.25">
      <c r="A15" t="s">
        <v>44</v>
      </c>
      <c r="B15" s="10">
        <f t="shared" si="5"/>
        <v>44940</v>
      </c>
      <c r="C15" s="10">
        <f t="shared" si="2"/>
        <v>135210</v>
      </c>
      <c r="E15">
        <v>60</v>
      </c>
      <c r="F15" s="10">
        <v>180150</v>
      </c>
      <c r="H15" s="14">
        <f t="shared" si="3"/>
        <v>24.945878434637802</v>
      </c>
      <c r="I15" s="14">
        <f t="shared" si="0"/>
        <v>75.054121565362195</v>
      </c>
      <c r="N15" s="10">
        <v>749</v>
      </c>
      <c r="O15" s="10">
        <v>3565</v>
      </c>
      <c r="P15" s="10">
        <v>97746</v>
      </c>
      <c r="Q15" s="10">
        <f t="shared" si="6"/>
        <v>37464</v>
      </c>
      <c r="S15" s="10">
        <f t="shared" si="1"/>
        <v>176436</v>
      </c>
      <c r="T15" s="10">
        <f t="shared" si="4"/>
        <v>213900</v>
      </c>
    </row>
    <row r="16" spans="1:21" x14ac:dyDescent="0.25">
      <c r="A16" t="s">
        <v>17</v>
      </c>
      <c r="B16" s="10">
        <f t="shared" si="5"/>
        <v>119888</v>
      </c>
      <c r="C16" s="10">
        <f t="shared" si="2"/>
        <v>266270</v>
      </c>
      <c r="E16">
        <v>59</v>
      </c>
      <c r="F16" s="10">
        <v>386158</v>
      </c>
      <c r="H16" s="14">
        <f t="shared" si="3"/>
        <v>31.046359262270883</v>
      </c>
      <c r="I16" s="14">
        <f t="shared" si="0"/>
        <v>68.953640737729117</v>
      </c>
      <c r="N16" s="10">
        <v>2032</v>
      </c>
      <c r="O16" s="10">
        <v>5067</v>
      </c>
      <c r="P16" s="10">
        <v>138330</v>
      </c>
      <c r="Q16" s="10">
        <f t="shared" si="6"/>
        <v>127940</v>
      </c>
      <c r="S16" s="10">
        <f t="shared" si="1"/>
        <v>176080</v>
      </c>
      <c r="T16" s="10">
        <f t="shared" si="4"/>
        <v>304020</v>
      </c>
    </row>
    <row r="17" spans="1:20" x14ac:dyDescent="0.25">
      <c r="A17" t="s">
        <v>78</v>
      </c>
      <c r="B17" s="10">
        <f t="shared" si="5"/>
        <v>1700</v>
      </c>
      <c r="C17" s="10">
        <f t="shared" si="2"/>
        <v>57675</v>
      </c>
      <c r="E17">
        <v>20</v>
      </c>
      <c r="F17" s="10">
        <v>59375</v>
      </c>
      <c r="H17" s="14">
        <f t="shared" si="3"/>
        <v>2.8631578947368421</v>
      </c>
      <c r="I17" s="14">
        <f t="shared" si="0"/>
        <v>97.136842105263156</v>
      </c>
      <c r="N17" s="10">
        <v>85</v>
      </c>
      <c r="O17" s="10">
        <v>2258</v>
      </c>
      <c r="P17" s="10">
        <v>38971</v>
      </c>
      <c r="Q17" s="10">
        <f t="shared" si="6"/>
        <v>18704</v>
      </c>
      <c r="S17" s="10">
        <f t="shared" si="1"/>
        <v>116776</v>
      </c>
      <c r="T17" s="10">
        <f t="shared" si="4"/>
        <v>135480</v>
      </c>
    </row>
    <row r="18" spans="1:20" x14ac:dyDescent="0.25">
      <c r="A18" t="s">
        <v>79</v>
      </c>
      <c r="B18" s="10">
        <f t="shared" si="5"/>
        <v>3240</v>
      </c>
      <c r="C18" s="10">
        <f t="shared" si="2"/>
        <v>109074</v>
      </c>
      <c r="E18">
        <v>20</v>
      </c>
      <c r="F18" s="10">
        <v>112314</v>
      </c>
      <c r="H18" s="14">
        <f t="shared" si="3"/>
        <v>2.8847694855494419</v>
      </c>
      <c r="I18" s="14">
        <f t="shared" si="0"/>
        <v>97.115230514450559</v>
      </c>
      <c r="N18" s="10">
        <v>162</v>
      </c>
      <c r="O18" s="10">
        <v>2622</v>
      </c>
      <c r="P18" s="10">
        <v>22502</v>
      </c>
      <c r="Q18" s="10">
        <f t="shared" si="6"/>
        <v>86572</v>
      </c>
      <c r="S18" s="10">
        <f t="shared" si="1"/>
        <v>70748</v>
      </c>
      <c r="T18" s="10">
        <f t="shared" si="4"/>
        <v>157320</v>
      </c>
    </row>
    <row r="19" spans="1:20" x14ac:dyDescent="0.25">
      <c r="A19" t="s">
        <v>80</v>
      </c>
      <c r="B19" s="10">
        <f>E19*N19</f>
        <v>494</v>
      </c>
      <c r="C19" s="10">
        <f t="shared" si="2"/>
        <v>59637</v>
      </c>
      <c r="E19">
        <v>13</v>
      </c>
      <c r="F19" s="10">
        <v>60131</v>
      </c>
      <c r="H19" s="14">
        <f t="shared" si="3"/>
        <v>0.82153963845603761</v>
      </c>
      <c r="I19" s="14">
        <f t="shared" si="0"/>
        <v>99.178460361543969</v>
      </c>
      <c r="N19" s="10">
        <v>38</v>
      </c>
      <c r="O19" s="10">
        <v>2362</v>
      </c>
      <c r="P19" s="10">
        <v>41312</v>
      </c>
      <c r="Q19" s="10">
        <f>F19-P19-B19</f>
        <v>18325</v>
      </c>
      <c r="S19" s="10">
        <f t="shared" si="1"/>
        <v>123395</v>
      </c>
      <c r="T19" s="10">
        <f t="shared" si="4"/>
        <v>141720</v>
      </c>
    </row>
    <row r="20" spans="1:20" x14ac:dyDescent="0.25">
      <c r="A20" t="s">
        <v>81</v>
      </c>
      <c r="B20" s="10">
        <f t="shared" si="5"/>
        <v>15548</v>
      </c>
      <c r="C20" s="10">
        <f t="shared" si="2"/>
        <v>100562</v>
      </c>
      <c r="E20">
        <v>52</v>
      </c>
      <c r="F20" s="10">
        <v>116110</v>
      </c>
      <c r="H20" s="14">
        <f t="shared" si="3"/>
        <v>13.390750150719146</v>
      </c>
      <c r="I20" s="14">
        <f t="shared" si="0"/>
        <v>86.609249849280857</v>
      </c>
      <c r="N20" s="10">
        <v>299</v>
      </c>
      <c r="O20" s="10">
        <v>4376</v>
      </c>
      <c r="P20" s="10">
        <v>70864</v>
      </c>
      <c r="Q20" s="10">
        <f t="shared" si="6"/>
        <v>29698</v>
      </c>
      <c r="S20" s="10">
        <f>T20-Q20</f>
        <v>232862</v>
      </c>
      <c r="T20" s="10">
        <f t="shared" si="4"/>
        <v>262560</v>
      </c>
    </row>
    <row r="21" spans="1:20" x14ac:dyDescent="0.25">
      <c r="F21" s="10"/>
    </row>
    <row r="26" spans="1:20" x14ac:dyDescent="0.25">
      <c r="I26" s="10"/>
      <c r="J26" s="10"/>
      <c r="K26" s="10"/>
      <c r="M26" s="10"/>
    </row>
    <row r="27" spans="1:20" x14ac:dyDescent="0.25">
      <c r="K27" s="10"/>
    </row>
    <row r="31" spans="1:20" x14ac:dyDescent="0.25">
      <c r="Q31" s="10"/>
    </row>
    <row r="41" spans="2:18" x14ac:dyDescent="0.25">
      <c r="F41" s="10"/>
      <c r="N41" s="10"/>
      <c r="O41" s="10"/>
      <c r="P41" s="10"/>
      <c r="Q41" s="10"/>
      <c r="R41" s="10"/>
    </row>
    <row r="43" spans="2:18" x14ac:dyDescent="0.25">
      <c r="N43" s="10"/>
      <c r="O43" s="10"/>
      <c r="P43" s="10"/>
      <c r="Q43" s="10"/>
      <c r="R43" s="10"/>
    </row>
    <row r="47" spans="2:18" x14ac:dyDescent="0.25">
      <c r="B47" s="10"/>
    </row>
    <row r="49" spans="1:10" x14ac:dyDescent="0.25">
      <c r="B49" s="10"/>
    </row>
    <row r="50" spans="1:10" x14ac:dyDescent="0.25">
      <c r="B50" s="10"/>
    </row>
    <row r="51" spans="1:10" x14ac:dyDescent="0.25">
      <c r="C51" s="13"/>
    </row>
    <row r="52" spans="1:10" x14ac:dyDescent="0.25">
      <c r="C52" s="13"/>
      <c r="D52" s="12"/>
      <c r="J52" s="10"/>
    </row>
    <row r="53" spans="1:10" x14ac:dyDescent="0.25">
      <c r="C53" s="13"/>
      <c r="D53" s="12"/>
      <c r="J53" s="10"/>
    </row>
    <row r="54" spans="1:10" x14ac:dyDescent="0.25">
      <c r="C54" s="13"/>
      <c r="D54" s="12"/>
      <c r="J54" s="10"/>
    </row>
    <row r="55" spans="1:10" x14ac:dyDescent="0.25">
      <c r="C55" s="13"/>
      <c r="D55" s="12"/>
      <c r="J55" s="10"/>
    </row>
    <row r="56" spans="1:10" x14ac:dyDescent="0.25">
      <c r="C56" s="13"/>
      <c r="D56" s="12"/>
      <c r="J56" s="10"/>
    </row>
    <row r="57" spans="1:10" x14ac:dyDescent="0.25">
      <c r="C57" s="13"/>
      <c r="D57" s="12"/>
      <c r="J57" s="10"/>
    </row>
    <row r="58" spans="1:10" x14ac:dyDescent="0.25">
      <c r="C58" s="13"/>
      <c r="D58" s="12"/>
      <c r="J58" s="10"/>
    </row>
    <row r="59" spans="1:10" x14ac:dyDescent="0.25">
      <c r="A59" s="11"/>
      <c r="B59" s="11"/>
      <c r="C59" s="13"/>
      <c r="D59" s="12"/>
      <c r="J59" s="10"/>
    </row>
    <row r="60" spans="1:10" x14ac:dyDescent="0.25">
      <c r="A60" s="11"/>
      <c r="B60" s="11"/>
      <c r="C60" s="13"/>
      <c r="D60" s="12"/>
      <c r="J60" s="10"/>
    </row>
    <row r="61" spans="1:10" x14ac:dyDescent="0.25">
      <c r="C61" s="13"/>
      <c r="D61" s="12"/>
      <c r="J61" s="10"/>
    </row>
    <row r="62" spans="1:10" x14ac:dyDescent="0.25">
      <c r="C62" s="13"/>
      <c r="D62" s="12"/>
      <c r="J62" s="10"/>
    </row>
    <row r="63" spans="1:10" x14ac:dyDescent="0.25">
      <c r="B63" s="10"/>
      <c r="C63" s="13"/>
      <c r="D63" s="10"/>
      <c r="J63" s="10"/>
    </row>
    <row r="64" spans="1:10" x14ac:dyDescent="0.25">
      <c r="C64" s="13"/>
      <c r="D64" s="13"/>
      <c r="J64" s="10"/>
    </row>
    <row r="65" spans="1:10" x14ac:dyDescent="0.25">
      <c r="B65" s="10"/>
      <c r="C65" s="13"/>
      <c r="D65" s="13"/>
      <c r="J65" s="10"/>
    </row>
    <row r="66" spans="1:10" x14ac:dyDescent="0.25">
      <c r="B66" s="10"/>
      <c r="C66" s="13"/>
      <c r="D66" s="13"/>
      <c r="J66" s="10"/>
    </row>
    <row r="67" spans="1:10" x14ac:dyDescent="0.25">
      <c r="C67" s="13"/>
      <c r="D67" s="13"/>
      <c r="J67" s="10"/>
    </row>
    <row r="68" spans="1:10" x14ac:dyDescent="0.25">
      <c r="C68" s="13"/>
      <c r="D68" s="13"/>
      <c r="J68" s="10"/>
    </row>
    <row r="69" spans="1:10" x14ac:dyDescent="0.25">
      <c r="C69" s="13"/>
      <c r="D69" s="13"/>
      <c r="J69" s="10"/>
    </row>
    <row r="70" spans="1:10" x14ac:dyDescent="0.25">
      <c r="C70" s="13"/>
      <c r="D70" s="13"/>
    </row>
    <row r="71" spans="1:10" x14ac:dyDescent="0.25">
      <c r="C71" s="13"/>
      <c r="D71" s="13"/>
    </row>
    <row r="72" spans="1:10" x14ac:dyDescent="0.25">
      <c r="C72" s="13"/>
      <c r="D72" s="13"/>
    </row>
    <row r="73" spans="1:10" x14ac:dyDescent="0.25">
      <c r="C73" s="11"/>
      <c r="D73" s="12"/>
    </row>
    <row r="74" spans="1:10" x14ac:dyDescent="0.25">
      <c r="C74" s="13"/>
      <c r="D74" s="12"/>
    </row>
    <row r="75" spans="1:10" x14ac:dyDescent="0.25">
      <c r="A75" s="11"/>
      <c r="B75" s="11"/>
      <c r="C75" s="13"/>
      <c r="D75" s="12"/>
    </row>
    <row r="76" spans="1:10" x14ac:dyDescent="0.25">
      <c r="A76" s="11"/>
      <c r="B76" s="11"/>
      <c r="C76" s="13"/>
      <c r="D76" s="12"/>
    </row>
    <row r="77" spans="1:10" x14ac:dyDescent="0.25">
      <c r="C77" s="13"/>
      <c r="D77" s="12"/>
    </row>
    <row r="78" spans="1:10" x14ac:dyDescent="0.25">
      <c r="C78" s="11"/>
      <c r="D78" s="12"/>
    </row>
    <row r="79" spans="1:10" x14ac:dyDescent="0.25">
      <c r="B79" s="10"/>
      <c r="C79" s="13"/>
      <c r="D79" s="12"/>
    </row>
    <row r="80" spans="1:10" x14ac:dyDescent="0.25">
      <c r="C80" s="13"/>
      <c r="D80" s="12"/>
    </row>
    <row r="81" spans="1:4" x14ac:dyDescent="0.25">
      <c r="B81" s="10"/>
      <c r="C81" s="13"/>
      <c r="D81" s="12"/>
    </row>
    <row r="82" spans="1:4" x14ac:dyDescent="0.25">
      <c r="B82" s="10"/>
      <c r="C82" s="11"/>
      <c r="D82" s="12"/>
    </row>
    <row r="83" spans="1:4" x14ac:dyDescent="0.25">
      <c r="C83" s="13"/>
      <c r="D83" s="12"/>
    </row>
    <row r="84" spans="1:4" x14ac:dyDescent="0.25">
      <c r="C84" s="13"/>
      <c r="D84" s="12"/>
    </row>
    <row r="85" spans="1:4" x14ac:dyDescent="0.25">
      <c r="C85" s="13"/>
      <c r="D85" s="12"/>
    </row>
    <row r="86" spans="1:4" x14ac:dyDescent="0.25">
      <c r="C86" s="13"/>
      <c r="D86" s="12"/>
    </row>
    <row r="87" spans="1:4" x14ac:dyDescent="0.25">
      <c r="C87" s="11"/>
      <c r="D87" s="12"/>
    </row>
    <row r="88" spans="1:4" x14ac:dyDescent="0.25">
      <c r="B88" s="10"/>
      <c r="C88" s="11"/>
      <c r="D88" s="12"/>
    </row>
    <row r="89" spans="1:4" x14ac:dyDescent="0.25">
      <c r="C89" s="11"/>
      <c r="D89" s="12"/>
    </row>
    <row r="90" spans="1:4" x14ac:dyDescent="0.25">
      <c r="B90" s="25"/>
      <c r="C90" s="13"/>
      <c r="D90" s="12"/>
    </row>
    <row r="91" spans="1:4" x14ac:dyDescent="0.25">
      <c r="A91" s="11"/>
      <c r="B91" s="11"/>
      <c r="C91" s="13"/>
      <c r="D91" s="12"/>
    </row>
    <row r="92" spans="1:4" x14ac:dyDescent="0.25">
      <c r="A92" s="11"/>
      <c r="B92" s="11"/>
      <c r="C92" s="11"/>
      <c r="D92" s="12"/>
    </row>
    <row r="93" spans="1:4" x14ac:dyDescent="0.25">
      <c r="A93" s="11"/>
      <c r="B93" s="11"/>
      <c r="C93" s="13"/>
      <c r="D93" s="12"/>
    </row>
    <row r="94" spans="1:4" x14ac:dyDescent="0.25">
      <c r="A94" s="11"/>
      <c r="B94" s="11"/>
      <c r="C94" s="11"/>
      <c r="D94" s="12"/>
    </row>
    <row r="95" spans="1:4" x14ac:dyDescent="0.25">
      <c r="A95" s="11"/>
      <c r="B95" s="11"/>
      <c r="C95" s="11"/>
      <c r="D95" s="12"/>
    </row>
    <row r="96" spans="1:4" x14ac:dyDescent="0.25">
      <c r="A96" s="11"/>
      <c r="B96" s="11"/>
      <c r="C96" s="13"/>
      <c r="D96" s="12"/>
    </row>
    <row r="97" spans="1:4" x14ac:dyDescent="0.25">
      <c r="A97" s="11"/>
      <c r="B97" s="11"/>
      <c r="C97" s="11"/>
      <c r="D97" s="12"/>
    </row>
    <row r="98" spans="1:4" x14ac:dyDescent="0.25">
      <c r="A98" s="11"/>
      <c r="B98" s="11"/>
      <c r="C98" s="11"/>
      <c r="D98" s="12"/>
    </row>
    <row r="99" spans="1:4" x14ac:dyDescent="0.25">
      <c r="A99" s="11"/>
      <c r="B99" s="11"/>
      <c r="C99" s="13"/>
      <c r="D99" s="12"/>
    </row>
    <row r="100" spans="1:4" x14ac:dyDescent="0.25">
      <c r="A100" s="11"/>
      <c r="B100" s="11"/>
      <c r="C100" s="11"/>
      <c r="D100" s="12"/>
    </row>
    <row r="101" spans="1:4" x14ac:dyDescent="0.25">
      <c r="A101" s="11"/>
      <c r="B101" s="11"/>
      <c r="C101" s="13"/>
      <c r="D101" s="12"/>
    </row>
    <row r="102" spans="1:4" x14ac:dyDescent="0.25">
      <c r="A102" s="11"/>
      <c r="B102" s="11"/>
      <c r="C102" s="13"/>
      <c r="D102" s="12"/>
    </row>
    <row r="103" spans="1:4" x14ac:dyDescent="0.25">
      <c r="A103" s="11"/>
      <c r="B103" s="11"/>
      <c r="C103" s="13"/>
      <c r="D103" s="12"/>
    </row>
    <row r="104" spans="1:4" x14ac:dyDescent="0.25">
      <c r="A104" s="11"/>
      <c r="B104" s="11"/>
      <c r="C104" s="13"/>
      <c r="D104" s="12"/>
    </row>
    <row r="105" spans="1:4" x14ac:dyDescent="0.25">
      <c r="A105" s="11"/>
      <c r="B105" s="11"/>
      <c r="C105" s="13"/>
      <c r="D105" s="12"/>
    </row>
    <row r="106" spans="1:4" x14ac:dyDescent="0.25">
      <c r="A106" s="11"/>
      <c r="B106" s="11"/>
      <c r="C106" s="13"/>
      <c r="D106" s="12"/>
    </row>
    <row r="107" spans="1:4" x14ac:dyDescent="0.25">
      <c r="A107" s="11"/>
      <c r="B107" s="11"/>
      <c r="C107" s="13"/>
      <c r="D107" s="12"/>
    </row>
    <row r="108" spans="1:4" x14ac:dyDescent="0.25">
      <c r="A108" s="11"/>
      <c r="B108" s="11"/>
      <c r="C108" s="13"/>
      <c r="D108" s="12"/>
    </row>
    <row r="109" spans="1:4" x14ac:dyDescent="0.25">
      <c r="A109" s="11"/>
      <c r="B109" s="11"/>
      <c r="C109" s="13"/>
      <c r="D109" s="12"/>
    </row>
    <row r="110" spans="1:4" x14ac:dyDescent="0.25">
      <c r="A110" s="11"/>
      <c r="B110" s="11"/>
      <c r="C110" s="13"/>
      <c r="D110" s="12"/>
    </row>
  </sheetData>
  <mergeCells count="1">
    <mergeCell ref="T1:T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Karlsruhe</vt:lpstr>
      <vt:lpstr>Mannheim</vt:lpstr>
      <vt:lpstr>Freiburg</vt:lpstr>
      <vt:lpstr>Heidelberg</vt:lpstr>
      <vt:lpstr>Tübingen</vt:lpstr>
      <vt:lpstr>Heilbronn</vt:lpstr>
      <vt:lpstr>Pforzheim</vt:lpstr>
      <vt:lpstr>Stuttgart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Mack, Christian (KASTEL)</dc:creator>
  <cp:lastModifiedBy>Mack, Christian (AIFB)</cp:lastModifiedBy>
  <dcterms:created xsi:type="dcterms:W3CDTF">2025-11-26T14:47:35Z</dcterms:created>
  <dcterms:modified xsi:type="dcterms:W3CDTF">2025-12-18T10:42:12Z</dcterms:modified>
</cp:coreProperties>
</file>